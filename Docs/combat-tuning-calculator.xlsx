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stants" sheetId="1" state="visible" r:id="rId3"/>
    <sheet name="PlayerBuild" sheetId="2" state="visible" r:id="rId4"/>
    <sheet name="EnemyBuild" sheetId="3" state="visible" r:id="rId5"/>
    <sheet name="Calculato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<sst xmlns="http://schemas.openxmlformats.org/spreadsheetml/2006/main" count="219" uniqueCount="150">
  <si>
    <t xml:space="preserve">TUNING CONSTANTS</t>
  </si>
  <si>
    <t xml:space="preserve">Mitigation</t>
  </si>
  <si>
    <t xml:space="preserve">K_DEF</t>
  </si>
  <si>
    <t xml:space="preserve">Physical mitigation soft-cap. Mitigation% = DEF/(DEF+K_DEF).</t>
  </si>
  <si>
    <t xml:space="preserve">K_elem</t>
  </si>
  <si>
    <t xml:space="preserve">Elemental mitigation soft-cap (shared across elements).</t>
  </si>
  <si>
    <t xml:space="preserve">Damage Variance</t>
  </si>
  <si>
    <t xml:space="preserve">VarianceMin</t>
  </si>
  <si>
    <t xml:space="preserve">VarianceMax</t>
  </si>
  <si>
    <t xml:space="preserve">Critical Hits</t>
  </si>
  <si>
    <t xml:space="preserve">BaseCritChance</t>
  </si>
  <si>
    <t xml:space="preserve">MaxCritChanceBonus</t>
  </si>
  <si>
    <t xml:space="preserve">K_crit</t>
  </si>
  <si>
    <t xml:space="preserve">BaseCritMult</t>
  </si>
  <si>
    <t xml:space="preserve">MaxCritMultBonus</t>
  </si>
  <si>
    <t xml:space="preserve">K_critmult</t>
  </si>
  <si>
    <t xml:space="preserve">Elemental Type Multipliers</t>
  </si>
  <si>
    <t xml:space="preserve">Weak</t>
  </si>
  <si>
    <t xml:space="preserve">Neutral</t>
  </si>
  <si>
    <t xml:space="preserve">Resistant</t>
  </si>
  <si>
    <t xml:space="preserve">Immune</t>
  </si>
  <si>
    <t xml:space="preserve">Reincarnation / Difficulty</t>
  </si>
  <si>
    <t xml:space="preserve">r (player power bonus/loop)</t>
  </si>
  <si>
    <t xml:space="preserve">d (enemy difficulty growth/loop)</t>
  </si>
  <si>
    <t xml:space="preserve">Stat Scaling</t>
  </si>
  <si>
    <t xml:space="preserve">STR_Divisor</t>
  </si>
  <si>
    <t xml:space="preserve">INT_Divisor</t>
  </si>
  <si>
    <t xml:space="preserve">Health</t>
  </si>
  <si>
    <t xml:space="preserve">BaseHP</t>
  </si>
  <si>
    <t xml:space="preserve">HPperVIT</t>
  </si>
  <si>
    <t xml:space="preserve">Weapon Archetypes — Base Cooldown (sec)</t>
  </si>
  <si>
    <t xml:space="preserve">Weapon</t>
  </si>
  <si>
    <t xml:space="preserve">Base Cooldown</t>
  </si>
  <si>
    <t xml:space="preserve">Dagger</t>
  </si>
  <si>
    <t xml:space="preserve">Wand</t>
  </si>
  <si>
    <t xml:space="preserve">Sword</t>
  </si>
  <si>
    <t xml:space="preserve">Bow</t>
  </si>
  <si>
    <t xml:space="preserve">Axe</t>
  </si>
  <si>
    <t xml:space="preserve">Mace</t>
  </si>
  <si>
    <t xml:space="preserve">Staff</t>
  </si>
  <si>
    <t xml:space="preserve">Tome</t>
  </si>
  <si>
    <t xml:space="preserve">Greatsword</t>
  </si>
  <si>
    <t xml:space="preserve">Haste &amp; Cooldown Reduction</t>
  </si>
  <si>
    <t xml:space="preserve">K_haste</t>
  </si>
  <si>
    <t xml:space="preserve">MaxCDR (cap)</t>
  </si>
  <si>
    <t xml:space="preserve">Dual Wield</t>
  </si>
  <si>
    <t xml:space="preserve">DualWieldBaseCDR</t>
  </si>
  <si>
    <t xml:space="preserve">Class Mastery Bonuses</t>
  </si>
  <si>
    <t xml:space="preserve">MeleeDPS DualWield CDR Bonus</t>
  </si>
  <si>
    <t xml:space="preserve">Tank Shield Block Bonus</t>
  </si>
  <si>
    <t xml:space="preserve">Tank Shield DEF Bonus (flat)</t>
  </si>
  <si>
    <t xml:space="preserve">RangedDPS Bow Crit Bonus</t>
  </si>
  <si>
    <t xml:space="preserve">RangedDPS Bow Damage Bonus</t>
  </si>
  <si>
    <t xml:space="preserve">Shield / Block</t>
  </si>
  <si>
    <t xml:space="preserve">BaseBlockChance</t>
  </si>
  <si>
    <t xml:space="preserve">BaseShieldDEF (flat)</t>
  </si>
  <si>
    <t xml:space="preserve">BlockDamageReduction</t>
  </si>
  <si>
    <t xml:space="preserve">PLAYER BUILD</t>
  </si>
  <si>
    <t xml:space="preserve">Level</t>
  </si>
  <si>
    <t xml:space="preserve">Reincarnations (N)</t>
  </si>
  <si>
    <t xml:space="preserve">Class</t>
  </si>
  <si>
    <t xml:space="preserve">Melee DPS</t>
  </si>
  <si>
    <t xml:space="preserve">Main-Hand Weapon</t>
  </si>
  <si>
    <t xml:space="preserve">Off-Hand</t>
  </si>
  <si>
    <t xml:space="preserve">Dual-Wield Weapon</t>
  </si>
  <si>
    <t xml:space="preserve">Core Stats</t>
  </si>
  <si>
    <t xml:space="preserve">Stat</t>
  </si>
  <si>
    <t xml:space="preserve">Base</t>
  </si>
  <si>
    <t xml:space="preserve">Allocated Points</t>
  </si>
  <si>
    <t xml:space="preserve">Gear Bonus</t>
  </si>
  <si>
    <t xml:space="preserve">Total</t>
  </si>
  <si>
    <t xml:space="preserve">STR</t>
  </si>
  <si>
    <t xml:space="preserve">INT</t>
  </si>
  <si>
    <t xml:space="preserve">VIT</t>
  </si>
  <si>
    <t xml:space="preserve">DEF</t>
  </si>
  <si>
    <t xml:space="preserve">AGI</t>
  </si>
  <si>
    <t xml:space="preserve">LUK</t>
  </si>
  <si>
    <t xml:space="preserve">Elemental Resistances</t>
  </si>
  <si>
    <t xml:space="preserve">Element</t>
  </si>
  <si>
    <t xml:space="preserve">Fire</t>
  </si>
  <si>
    <t xml:space="preserve">Ice</t>
  </si>
  <si>
    <t xml:space="preserve">Lightning</t>
  </si>
  <si>
    <t xml:space="preserve">Poison</t>
  </si>
  <si>
    <t xml:space="preserve">Loadout &amp; Derived</t>
  </si>
  <si>
    <t xml:space="preserve">Weapon Base Damage (physical)</t>
  </si>
  <si>
    <t xml:space="preserve">Skill Base Damage (elemental)</t>
  </si>
  <si>
    <t xml:space="preserve">Max HP</t>
  </si>
  <si>
    <t xml:space="preserve">Prestige Multiplier</t>
  </si>
  <si>
    <t xml:space="preserve">Weapon Speed &amp; Mastery (derived)</t>
  </si>
  <si>
    <t xml:space="preserve">Base Weapon Cooldown (sec)</t>
  </si>
  <si>
    <t xml:space="preserve">Haste % (from AGI)</t>
  </si>
  <si>
    <t xml:space="preserve">Dual-Wield CDR Bonus</t>
  </si>
  <si>
    <t xml:space="preserve">Total Cooldown Reduction %</t>
  </si>
  <si>
    <t xml:space="preserve">Effective Basic Attack Cooldown (sec)</t>
  </si>
  <si>
    <t xml:space="preserve">Attacks Per Second</t>
  </si>
  <si>
    <t xml:space="preserve">Block Chance % (if Shield equipped)</t>
  </si>
  <si>
    <t xml:space="preserve">Shield DEF Bonus (flat)</t>
  </si>
  <si>
    <t xml:space="preserve">Ranged Bonus Crit Chance % (Bow)</t>
  </si>
  <si>
    <t xml:space="preserve">Ranged Bonus Damage % (Bow)</t>
  </si>
  <si>
    <t xml:space="preserve">Legend: yellow cells are inputs. Class/Weapon/Off-Hand are free choices — mastery bonuses only apply when they match (see combat-formulas.md §11).</t>
  </si>
  <si>
    <t xml:space="preserve">Skill Element (for Elemental Attack)</t>
  </si>
  <si>
    <t xml:space="preserve">Which element your elemental skill deals — determines which enemy RES applies.</t>
  </si>
  <si>
    <t xml:space="preserve">ENEMY BUILD</t>
  </si>
  <si>
    <t xml:space="preserve">Full stat parity with PlayerBuild — enemies use the exact same abilities, so they need the exact same stat block.</t>
  </si>
  <si>
    <t xml:space="preserve">Zone Tier / Loop (N)</t>
  </si>
  <si>
    <t xml:space="preserve">None</t>
  </si>
  <si>
    <t xml:space="preserve">Attack Element (primary, vs player)</t>
  </si>
  <si>
    <t xml:space="preserve">Physical</t>
  </si>
  <si>
    <t xml:space="preserve">Weakness Category (encounter design, vs player's element)</t>
  </si>
  <si>
    <t xml:space="preserve">Difficulty Multiplier</t>
  </si>
  <si>
    <t xml:space="preserve">Enemy's equivalent of the player's Prestige Multiplier.</t>
  </si>
  <si>
    <t xml:space="preserve">Scaled Total</t>
  </si>
  <si>
    <t xml:space="preserve">Crit Chance %</t>
  </si>
  <si>
    <t xml:space="preserve">Crit Multiplier</t>
  </si>
  <si>
    <t xml:space="preserve">Legend: yellow cells are inputs. Same formulas as PlayerBuild — Difficulty Multiplier plays the role Prestige Multiplier plays for the player.</t>
  </si>
  <si>
    <t xml:space="preserve">DAMAGE &amp; TTK CALCULATOR</t>
  </si>
  <si>
    <t xml:space="preserve">Physical Attack — Player vs Enemy</t>
  </si>
  <si>
    <t xml:space="preserve">Raw Damage</t>
  </si>
  <si>
    <t xml:space="preserve">Mitigation %</t>
  </si>
  <si>
    <t xml:space="preserve">Mitigated Damage</t>
  </si>
  <si>
    <t xml:space="preserve">Type Multiplier</t>
  </si>
  <si>
    <t xml:space="preserve">Typed Damage</t>
  </si>
  <si>
    <t xml:space="preserve">Average Damage (crit-weighted)</t>
  </si>
  <si>
    <t xml:space="preserve">Ranged Damage Bonus Multiplier</t>
  </si>
  <si>
    <t xml:space="preserve">Final Average Damage / Hit</t>
  </si>
  <si>
    <t xml:space="preserve">DPS (Physical)</t>
  </si>
  <si>
    <t xml:space="preserve">Enemy HP (scaled)</t>
  </si>
  <si>
    <t xml:space="preserve">Time to Kill (sec)</t>
  </si>
  <si>
    <t xml:space="preserve">Hits to Kill (reference)</t>
  </si>
  <si>
    <t xml:space="preserve">Target Check</t>
  </si>
  <si>
    <t xml:space="preserve">Elemental Attack — Player vs Enemy</t>
  </si>
  <si>
    <t xml:space="preserve">Enemy RES (matching Skill Element)</t>
  </si>
  <si>
    <t xml:space="preserve">DPS (Elemental)</t>
  </si>
  <si>
    <t xml:space="preserve">Enemy Attack — Enemy vs Player</t>
  </si>
  <si>
    <t xml:space="preserve">Enemy Attack Element</t>
  </si>
  <si>
    <t xml:space="preserve">Enemy Raw Damage</t>
  </si>
  <si>
    <t xml:space="preserve">Player Mitigating Stat</t>
  </si>
  <si>
    <t xml:space="preserve">Mitigation Constant Used</t>
  </si>
  <si>
    <t xml:space="preserve">Enemy Crit Chance %</t>
  </si>
  <si>
    <t xml:space="preserve">Enemy Crit Multiplier</t>
  </si>
  <si>
    <t xml:space="preserve">Block Chance %</t>
  </si>
  <si>
    <t xml:space="preserve">Block Damage Reduction</t>
  </si>
  <si>
    <t xml:space="preserve">Effective Multiplier After Block</t>
  </si>
  <si>
    <t xml:space="preserve">Damage Taken per Hit</t>
  </si>
  <si>
    <t xml:space="preserve">Enemy Attacks Per Second</t>
  </si>
  <si>
    <t xml:space="preserve">DPS Taken</t>
  </si>
  <si>
    <t xml:space="preserve">Player Max HP</t>
  </si>
  <si>
    <t xml:space="preserve">Time to Die (sec)</t>
  </si>
  <si>
    <t xml:space="preserve">Hits to Die (reference)</t>
  </si>
  <si>
    <t xml:space="preserve">Note: shows average-case damage (no per-hit variance/block RNG) for stable TTK planning. Enemy and Player now run through identical formulas — Difficulty Multiplier mirrors Prestige Multiplier's role.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</si>
</sst>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General"/>
    <numFmt numFmtId="167" formatCode="0.0%"/>
    <numFmt numFmtId="168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8EA9DB"/>
        <bgColor rgb="FF969696"/>
      </patternFill>
    </fill>
    <fill>
      <patternFill patternType="solid">
        <fgColor rgb="FFFFFFCC"/>
        <bgColor rgb="FFFFFFFF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46"/>
  </cols>
  <sheetData>
    <row r="1" customFormat="false" ht="21.75" hidden="false" customHeight="tru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100</v>
      </c>
      <c r="C4" s="5" t="s">
        <v>3</v>
      </c>
    </row>
    <row r="5" customFormat="false" ht="15" hidden="false" customHeight="false" outlineLevel="0" collapsed="false">
      <c r="A5" s="3" t="s">
        <v>4</v>
      </c>
      <c r="B5" s="4" t="n">
        <v>80</v>
      </c>
      <c r="C5" s="5" t="s">
        <v>5</v>
      </c>
    </row>
    <row r="7" customFormat="false" ht="15" hidden="false" customHeight="false" outlineLevel="0" collapsed="false">
      <c r="A7" s="2" t="s">
        <v>6</v>
      </c>
      <c r="B7" s="2"/>
      <c r="C7" s="2"/>
    </row>
    <row r="8" customFormat="false" ht="15" hidden="false" customHeight="false" outlineLevel="0" collapsed="false">
      <c r="A8" s="3" t="s">
        <v>7</v>
      </c>
      <c r="B8" s="4" t="n">
        <v>0.85</v>
      </c>
    </row>
    <row r="9" customFormat="false" ht="15" hidden="false" customHeight="false" outlineLevel="0" collapsed="false">
      <c r="A9" s="3" t="s">
        <v>8</v>
      </c>
      <c r="B9" s="4" t="n">
        <v>1.15</v>
      </c>
    </row>
    <row r="11" customFormat="false" ht="15" hidden="false" customHeight="false" outlineLevel="0" collapsed="false">
      <c r="A11" s="2" t="s">
        <v>9</v>
      </c>
      <c r="B11" s="2"/>
      <c r="C11" s="2"/>
    </row>
    <row r="12" customFormat="false" ht="15" hidden="false" customHeight="false" outlineLevel="0" collapsed="false">
      <c r="A12" s="3" t="s">
        <v>10</v>
      </c>
      <c r="B12" s="6" t="n">
        <v>0.05</v>
      </c>
    </row>
    <row r="13" customFormat="false" ht="15" hidden="false" customHeight="false" outlineLevel="0" collapsed="false">
      <c r="A13" s="3" t="s">
        <v>11</v>
      </c>
      <c r="B13" s="6" t="n">
        <v>0.65</v>
      </c>
    </row>
    <row r="14" customFormat="false" ht="15" hidden="false" customHeight="false" outlineLevel="0" collapsed="false">
      <c r="A14" s="3" t="s">
        <v>12</v>
      </c>
      <c r="B14" s="4" t="n">
        <v>300</v>
      </c>
    </row>
    <row r="15" customFormat="false" ht="15" hidden="false" customHeight="false" outlineLevel="0" collapsed="false">
      <c r="A15" s="3" t="s">
        <v>13</v>
      </c>
      <c r="B15" s="4" t="n">
        <v>1.5</v>
      </c>
    </row>
    <row r="16" customFormat="false" ht="15" hidden="false" customHeight="false" outlineLevel="0" collapsed="false">
      <c r="A16" s="3" t="s">
        <v>14</v>
      </c>
      <c r="B16" s="4" t="n">
        <v>2.5</v>
      </c>
    </row>
    <row r="17" customFormat="false" ht="15" hidden="false" customHeight="false" outlineLevel="0" collapsed="false">
      <c r="A17" s="3" t="s">
        <v>15</v>
      </c>
      <c r="B17" s="4" t="n">
        <v>300</v>
      </c>
    </row>
    <row r="19" customFormat="false" ht="15" hidden="false" customHeight="false" outlineLevel="0" collapsed="false">
      <c r="A19" s="2" t="s">
        <v>16</v>
      </c>
      <c r="B19" s="2"/>
      <c r="C19" s="2"/>
    </row>
    <row r="20" customFormat="false" ht="15" hidden="false" customHeight="false" outlineLevel="0" collapsed="false">
      <c r="A20" s="3" t="s">
        <v>17</v>
      </c>
      <c r="B20" s="4" t="n">
        <v>1.5</v>
      </c>
    </row>
    <row r="21" customFormat="false" ht="15" hidden="false" customHeight="false" outlineLevel="0" collapsed="false">
      <c r="A21" s="3" t="s">
        <v>18</v>
      </c>
      <c r="B21" s="4" t="n">
        <v>1</v>
      </c>
    </row>
    <row r="22" customFormat="false" ht="15" hidden="false" customHeight="false" outlineLevel="0" collapsed="false">
      <c r="A22" s="3" t="s">
        <v>19</v>
      </c>
      <c r="B22" s="4" t="n">
        <v>0.5</v>
      </c>
    </row>
    <row r="23" customFormat="false" ht="15" hidden="false" customHeight="false" outlineLevel="0" collapsed="false">
      <c r="A23" s="3" t="s">
        <v>20</v>
      </c>
      <c r="B23" s="4" t="n">
        <v>0</v>
      </c>
    </row>
    <row r="25" customFormat="false" ht="15" hidden="false" customHeight="false" outlineLevel="0" collapsed="false">
      <c r="A25" s="2" t="s">
        <v>21</v>
      </c>
      <c r="B25" s="2"/>
      <c r="C25" s="2"/>
    </row>
    <row r="26" customFormat="false" ht="15" hidden="false" customHeight="false" outlineLevel="0" collapsed="false">
      <c r="A26" s="3" t="s">
        <v>22</v>
      </c>
      <c r="B26" s="6" t="n">
        <v>0.1</v>
      </c>
    </row>
    <row r="27" customFormat="false" ht="15" hidden="false" customHeight="false" outlineLevel="0" collapsed="false">
      <c r="A27" s="3" t="s">
        <v>23</v>
      </c>
      <c r="B27" s="6" t="n">
        <v>0.15</v>
      </c>
    </row>
    <row r="29" customFormat="false" ht="15" hidden="false" customHeight="false" outlineLevel="0" collapsed="false">
      <c r="A29" s="2" t="s">
        <v>24</v>
      </c>
      <c r="B29" s="2"/>
      <c r="C29" s="2"/>
    </row>
    <row r="30" customFormat="false" ht="15" hidden="false" customHeight="false" outlineLevel="0" collapsed="false">
      <c r="A30" s="3" t="s">
        <v>25</v>
      </c>
      <c r="B30" s="4" t="n">
        <v>100</v>
      </c>
    </row>
    <row r="31" customFormat="false" ht="15" hidden="false" customHeight="false" outlineLevel="0" collapsed="false">
      <c r="A31" s="3" t="s">
        <v>26</v>
      </c>
      <c r="B31" s="4" t="n">
        <v>100</v>
      </c>
    </row>
    <row r="33" customFormat="false" ht="15" hidden="false" customHeight="false" outlineLevel="0" collapsed="false">
      <c r="A33" s="2" t="s">
        <v>27</v>
      </c>
      <c r="B33" s="2"/>
      <c r="C33" s="2"/>
    </row>
    <row r="34" customFormat="false" ht="15" hidden="false" customHeight="false" outlineLevel="0" collapsed="false">
      <c r="A34" s="3" t="s">
        <v>28</v>
      </c>
      <c r="B34" s="4" t="n">
        <v>100</v>
      </c>
    </row>
    <row r="35" customFormat="false" ht="15" hidden="false" customHeight="false" outlineLevel="0" collapsed="false">
      <c r="A35" s="3" t="s">
        <v>29</v>
      </c>
      <c r="B35" s="4" t="n">
        <v>10</v>
      </c>
    </row>
    <row r="37" customFormat="false" ht="15" hidden="false" customHeight="false" outlineLevel="0" collapsed="false">
      <c r="A37" s="2" t="s">
        <v>30</v>
      </c>
      <c r="B37" s="2"/>
      <c r="C37" s="2"/>
    </row>
    <row r="38" customFormat="false" ht="15" hidden="false" customHeight="false" outlineLevel="0" collapsed="false">
      <c r="A38" s="7" t="s">
        <v>31</v>
      </c>
      <c r="B38" s="7" t="s">
        <v>32</v>
      </c>
    </row>
    <row r="39" customFormat="false" ht="15" hidden="false" customHeight="false" outlineLevel="0" collapsed="false">
      <c r="A39" s="3" t="s">
        <v>33</v>
      </c>
      <c r="B39" s="4" t="n">
        <v>0.8</v>
      </c>
    </row>
    <row r="40" customFormat="false" ht="15" hidden="false" customHeight="false" outlineLevel="0" collapsed="false">
      <c r="A40" s="3" t="s">
        <v>34</v>
      </c>
      <c r="B40" s="4" t="n">
        <v>0.9</v>
      </c>
    </row>
    <row r="41" customFormat="false" ht="15" hidden="false" customHeight="false" outlineLevel="0" collapsed="false">
      <c r="A41" s="3" t="s">
        <v>35</v>
      </c>
      <c r="B41" s="4" t="n">
        <v>1</v>
      </c>
    </row>
    <row r="42" customFormat="false" ht="15" hidden="false" customHeight="false" outlineLevel="0" collapsed="false">
      <c r="A42" s="3" t="s">
        <v>36</v>
      </c>
      <c r="B42" s="4" t="n">
        <v>1</v>
      </c>
    </row>
    <row r="43" customFormat="false" ht="15" hidden="false" customHeight="false" outlineLevel="0" collapsed="false">
      <c r="A43" s="3" t="s">
        <v>37</v>
      </c>
      <c r="B43" s="4" t="n">
        <v>1.1</v>
      </c>
    </row>
    <row r="44" customFormat="false" ht="15" hidden="false" customHeight="false" outlineLevel="0" collapsed="false">
      <c r="A44" s="3" t="s">
        <v>38</v>
      </c>
      <c r="B44" s="4" t="n">
        <v>1.1</v>
      </c>
    </row>
    <row r="45" customFormat="false" ht="15" hidden="false" customHeight="false" outlineLevel="0" collapsed="false">
      <c r="A45" s="3" t="s">
        <v>39</v>
      </c>
      <c r="B45" s="4" t="n">
        <v>1.2</v>
      </c>
    </row>
    <row r="46" customFormat="false" ht="15" hidden="false" customHeight="false" outlineLevel="0" collapsed="false">
      <c r="A46" s="3" t="s">
        <v>40</v>
      </c>
      <c r="B46" s="4" t="n">
        <v>1.3</v>
      </c>
    </row>
    <row r="47" customFormat="false" ht="15" hidden="false" customHeight="false" outlineLevel="0" collapsed="false">
      <c r="A47" s="3" t="s">
        <v>41</v>
      </c>
      <c r="B47" s="4" t="n">
        <v>1.8</v>
      </c>
    </row>
    <row r="49" customFormat="false" ht="15" hidden="false" customHeight="false" outlineLevel="0" collapsed="false">
      <c r="A49" s="2" t="s">
        <v>42</v>
      </c>
      <c r="B49" s="2"/>
      <c r="C49" s="2"/>
    </row>
    <row r="50" customFormat="false" ht="15" hidden="false" customHeight="false" outlineLevel="0" collapsed="false">
      <c r="A50" s="3" t="s">
        <v>43</v>
      </c>
      <c r="B50" s="4" t="n">
        <v>200</v>
      </c>
    </row>
    <row r="51" customFormat="false" ht="15" hidden="false" customHeight="false" outlineLevel="0" collapsed="false">
      <c r="A51" s="3" t="s">
        <v>44</v>
      </c>
      <c r="B51" s="6" t="n">
        <v>0.8</v>
      </c>
    </row>
    <row r="53" customFormat="false" ht="15" hidden="false" customHeight="false" outlineLevel="0" collapsed="false">
      <c r="A53" s="2" t="s">
        <v>45</v>
      </c>
      <c r="B53" s="2"/>
      <c r="C53" s="2"/>
    </row>
    <row r="54" customFormat="false" ht="15" hidden="false" customHeight="false" outlineLevel="0" collapsed="false">
      <c r="A54" s="3" t="s">
        <v>46</v>
      </c>
      <c r="B54" s="6" t="n">
        <v>0.2</v>
      </c>
    </row>
    <row r="56" customFormat="false" ht="15" hidden="false" customHeight="false" outlineLevel="0" collapsed="false">
      <c r="A56" s="2" t="s">
        <v>47</v>
      </c>
      <c r="B56" s="2"/>
      <c r="C56" s="2"/>
    </row>
    <row r="57" customFormat="false" ht="15" hidden="false" customHeight="false" outlineLevel="0" collapsed="false">
      <c r="A57" s="3" t="s">
        <v>48</v>
      </c>
      <c r="B57" s="6" t="n">
        <v>0.15</v>
      </c>
    </row>
    <row r="58" customFormat="false" ht="15" hidden="false" customHeight="false" outlineLevel="0" collapsed="false">
      <c r="A58" s="3" t="s">
        <v>49</v>
      </c>
      <c r="B58" s="6" t="n">
        <v>0.2</v>
      </c>
    </row>
    <row r="59" customFormat="false" ht="15" hidden="false" customHeight="false" outlineLevel="0" collapsed="false">
      <c r="A59" s="3" t="s">
        <v>50</v>
      </c>
      <c r="B59" s="4" t="n">
        <v>20</v>
      </c>
    </row>
    <row r="60" customFormat="false" ht="15" hidden="false" customHeight="false" outlineLevel="0" collapsed="false">
      <c r="A60" s="3" t="s">
        <v>51</v>
      </c>
      <c r="B60" s="6" t="n">
        <v>0.1</v>
      </c>
    </row>
    <row r="61" customFormat="false" ht="15" hidden="false" customHeight="false" outlineLevel="0" collapsed="false">
      <c r="A61" s="3" t="s">
        <v>52</v>
      </c>
      <c r="B61" s="6" t="n">
        <v>0.15</v>
      </c>
    </row>
    <row r="63" customFormat="false" ht="15" hidden="false" customHeight="false" outlineLevel="0" collapsed="false">
      <c r="A63" s="2" t="s">
        <v>53</v>
      </c>
      <c r="B63" s="2"/>
      <c r="C63" s="2"/>
    </row>
    <row r="64" customFormat="false" ht="15" hidden="false" customHeight="false" outlineLevel="0" collapsed="false">
      <c r="A64" s="3" t="s">
        <v>54</v>
      </c>
      <c r="B64" s="6" t="n">
        <v>0.1</v>
      </c>
    </row>
    <row r="65" customFormat="false" ht="15" hidden="false" customHeight="false" outlineLevel="0" collapsed="false">
      <c r="A65" s="3" t="s">
        <v>55</v>
      </c>
      <c r="B65" s="4" t="n">
        <v>10</v>
      </c>
    </row>
    <row r="66" customFormat="false" ht="15" hidden="false" customHeight="false" outlineLevel="0" collapsed="false">
      <c r="A66" s="3" t="s">
        <v>56</v>
      </c>
      <c r="B66" s="6" t="n">
        <v>0.5</v>
      </c>
    </row>
  </sheetData>
  <mergeCells count="13">
    <mergeCell ref="A1:C1"/>
    <mergeCell ref="A3:C3"/>
    <mergeCell ref="A7:C7"/>
    <mergeCell ref="A11:C11"/>
    <mergeCell ref="A19:C19"/>
    <mergeCell ref="A25:C25"/>
    <mergeCell ref="A29:C29"/>
    <mergeCell ref="A33:C33"/>
    <mergeCell ref="A37:C37"/>
    <mergeCell ref="A49:C49"/>
    <mergeCell ref="A53:C53"/>
    <mergeCell ref="A56:C56"/>
    <mergeCell ref="A63:C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2"/>
  </cols>
  <sheetData>
    <row r="1" customFormat="false" ht="21.75" hidden="false" customHeight="true" outlineLevel="0" collapsed="false">
      <c r="A1" s="1" t="s">
        <v>57</v>
      </c>
      <c r="B1" s="1"/>
      <c r="C1" s="1"/>
      <c r="D1" s="1"/>
      <c r="E1" s="1"/>
    </row>
    <row r="3" customFormat="false" ht="15" hidden="false" customHeight="false" outlineLevel="0" collapsed="false">
      <c r="A3" s="3" t="s">
        <v>58</v>
      </c>
      <c r="B3" s="4" t="n">
        <v>1</v>
      </c>
    </row>
    <row r="4" customFormat="false" ht="15" hidden="false" customHeight="false" outlineLevel="0" collapsed="false">
      <c r="A4" s="3" t="s">
        <v>59</v>
      </c>
      <c r="B4" s="4" t="n">
        <v>0</v>
      </c>
    </row>
    <row r="5" customFormat="false" ht="15" hidden="false" customHeight="false" outlineLevel="0" collapsed="false">
      <c r="A5" s="3" t="s">
        <v>60</v>
      </c>
      <c r="B5" s="4" t="s">
        <v>61</v>
      </c>
    </row>
    <row r="6" customFormat="false" ht="15" hidden="false" customHeight="false" outlineLevel="0" collapsed="false">
      <c r="A6" s="3" t="s">
        <v>62</v>
      </c>
      <c r="B6" s="4" t="s">
        <v>35</v>
      </c>
    </row>
    <row r="7" customFormat="false" ht="15" hidden="false" customHeight="false" outlineLevel="0" collapsed="false">
      <c r="A7" s="3" t="s">
        <v>63</v>
      </c>
      <c r="B7" s="4" t="s">
        <v>64</v>
      </c>
    </row>
    <row r="9" customFormat="false" ht="15" hidden="false" customHeight="false" outlineLevel="0" collapsed="false">
      <c r="A9" s="2" t="s">
        <v>65</v>
      </c>
      <c r="B9" s="2"/>
      <c r="C9" s="2"/>
      <c r="D9" s="2"/>
      <c r="E9" s="2"/>
    </row>
    <row r="10" customFormat="false" ht="15" hidden="false" customHeight="false" outlineLevel="0" collapsed="false">
      <c r="A10" s="7" t="s">
        <v>66</v>
      </c>
      <c r="B10" s="7" t="s">
        <v>67</v>
      </c>
      <c r="C10" s="7" t="s">
        <v>68</v>
      </c>
      <c r="D10" s="7" t="s">
        <v>69</v>
      </c>
      <c r="E10" s="7" t="s">
        <v>70</v>
      </c>
    </row>
    <row r="11" customFormat="false" ht="15" hidden="false" customHeight="false" outlineLevel="0" collapsed="false">
      <c r="A11" s="3" t="s">
        <v>71</v>
      </c>
      <c r="B11" s="4" t="n">
        <v>5</v>
      </c>
      <c r="C11" s="4" t="n">
        <v>0</v>
      </c>
      <c r="D11" s="4" t="n">
        <v>0</v>
      </c>
      <c r="E11" s="8" t="n">
        <f aca="false">SUM(B11:D11)</f>
        <v>5</v>
      </c>
    </row>
    <row r="12" customFormat="false" ht="15" hidden="false" customHeight="false" outlineLevel="0" collapsed="false">
      <c r="A12" s="3" t="s">
        <v>72</v>
      </c>
      <c r="B12" s="4" t="n">
        <v>5</v>
      </c>
      <c r="C12" s="4" t="n">
        <v>0</v>
      </c>
      <c r="D12" s="4" t="n">
        <v>0</v>
      </c>
      <c r="E12" s="8" t="n">
        <f aca="false">SUM(B12:D12)</f>
        <v>5</v>
      </c>
    </row>
    <row r="13" customFormat="false" ht="15" hidden="false" customHeight="false" outlineLevel="0" collapsed="false">
      <c r="A13" s="3" t="s">
        <v>73</v>
      </c>
      <c r="B13" s="4" t="n">
        <v>10</v>
      </c>
      <c r="C13" s="4" t="n">
        <v>0</v>
      </c>
      <c r="D13" s="4" t="n">
        <v>0</v>
      </c>
      <c r="E13" s="8" t="n">
        <f aca="false">SUM(B13:D13)</f>
        <v>10</v>
      </c>
    </row>
    <row r="14" customFormat="false" ht="15" hidden="false" customHeight="false" outlineLevel="0" collapsed="false">
      <c r="A14" s="3" t="s">
        <v>74</v>
      </c>
      <c r="B14" s="4" t="n">
        <v>5</v>
      </c>
      <c r="C14" s="4" t="n">
        <v>0</v>
      </c>
      <c r="D14" s="4" t="n">
        <v>0</v>
      </c>
      <c r="E14" s="8" t="n">
        <f aca="false">SUM(B14:D14)</f>
        <v>5</v>
      </c>
    </row>
    <row r="15" customFormat="false" ht="15" hidden="false" customHeight="false" outlineLevel="0" collapsed="false">
      <c r="A15" s="3" t="s">
        <v>75</v>
      </c>
      <c r="B15" s="4" t="n">
        <v>5</v>
      </c>
      <c r="C15" s="4" t="n">
        <v>0</v>
      </c>
      <c r="D15" s="4" t="n">
        <v>0</v>
      </c>
      <c r="E15" s="8" t="n">
        <f aca="false">SUM(B15:D15)</f>
        <v>5</v>
      </c>
    </row>
    <row r="16" customFormat="false" ht="15" hidden="false" customHeight="false" outlineLevel="0" collapsed="false">
      <c r="A16" s="3" t="s">
        <v>76</v>
      </c>
      <c r="B16" s="4" t="n">
        <v>5</v>
      </c>
      <c r="C16" s="4" t="n">
        <v>0</v>
      </c>
      <c r="D16" s="4" t="n">
        <v>0</v>
      </c>
      <c r="E16" s="8" t="n">
        <f aca="false">SUM(B16:D16)</f>
        <v>5</v>
      </c>
    </row>
    <row r="18" customFormat="false" ht="15" hidden="false" customHeight="false" outlineLevel="0" collapsed="false">
      <c r="A18" s="2" t="s">
        <v>77</v>
      </c>
      <c r="B18" s="2"/>
      <c r="C18" s="2"/>
      <c r="D18" s="2"/>
      <c r="E18" s="2"/>
    </row>
    <row r="19" customFormat="false" ht="15" hidden="false" customHeight="false" outlineLevel="0" collapsed="false">
      <c r="A19" s="7" t="s">
        <v>78</v>
      </c>
      <c r="B19" s="7" t="s">
        <v>67</v>
      </c>
      <c r="C19" s="7" t="s">
        <v>68</v>
      </c>
      <c r="D19" s="7" t="s">
        <v>69</v>
      </c>
      <c r="E19" s="7" t="s">
        <v>70</v>
      </c>
    </row>
    <row r="20" customFormat="false" ht="15" hidden="false" customHeight="false" outlineLevel="0" collapsed="false">
      <c r="A20" s="3" t="s">
        <v>79</v>
      </c>
      <c r="B20" s="4" t="n">
        <v>0</v>
      </c>
      <c r="C20" s="4" t="n">
        <v>0</v>
      </c>
      <c r="D20" s="4" t="n">
        <v>0</v>
      </c>
      <c r="E20" s="8" t="n">
        <f aca="false">SUM(B20:D20)</f>
        <v>0</v>
      </c>
    </row>
    <row r="21" customFormat="false" ht="15" hidden="false" customHeight="false" outlineLevel="0" collapsed="false">
      <c r="A21" s="3" t="s">
        <v>80</v>
      </c>
      <c r="B21" s="4" t="n">
        <v>0</v>
      </c>
      <c r="C21" s="4" t="n">
        <v>0</v>
      </c>
      <c r="D21" s="4" t="n">
        <v>0</v>
      </c>
      <c r="E21" s="8" t="n">
        <f aca="false">SUM(B21:D21)</f>
        <v>0</v>
      </c>
    </row>
    <row r="22" customFormat="false" ht="15" hidden="false" customHeight="false" outlineLevel="0" collapsed="false">
      <c r="A22" s="3" t="s">
        <v>81</v>
      </c>
      <c r="B22" s="4" t="n">
        <v>0</v>
      </c>
      <c r="C22" s="4" t="n">
        <v>0</v>
      </c>
      <c r="D22" s="4" t="n">
        <v>0</v>
      </c>
      <c r="E22" s="8" t="n">
        <f aca="false">SUM(B22:D22)</f>
        <v>0</v>
      </c>
    </row>
    <row r="23" customFormat="false" ht="15" hidden="false" customHeight="false" outlineLevel="0" collapsed="false">
      <c r="A23" s="3" t="s">
        <v>82</v>
      </c>
      <c r="B23" s="4" t="n">
        <v>0</v>
      </c>
      <c r="C23" s="4" t="n">
        <v>0</v>
      </c>
      <c r="D23" s="4" t="n">
        <v>0</v>
      </c>
      <c r="E23" s="8" t="n">
        <f aca="false">SUM(B23:D23)</f>
        <v>0</v>
      </c>
    </row>
    <row r="25" customFormat="false" ht="15" hidden="false" customHeight="false" outlineLevel="0" collapsed="false">
      <c r="A25" s="2" t="s">
        <v>83</v>
      </c>
      <c r="B25" s="2"/>
      <c r="C25" s="2"/>
      <c r="D25" s="2"/>
      <c r="E25" s="2"/>
    </row>
    <row r="26" customFormat="false" ht="15" hidden="false" customHeight="false" outlineLevel="0" collapsed="false">
      <c r="A26" s="3" t="s">
        <v>84</v>
      </c>
      <c r="B26" s="4" t="n">
        <v>20</v>
      </c>
    </row>
    <row r="27" customFormat="false" ht="15" hidden="false" customHeight="false" outlineLevel="0" collapsed="false">
      <c r="A27" s="3" t="s">
        <v>85</v>
      </c>
      <c r="B27" s="4" t="n">
        <v>20</v>
      </c>
    </row>
    <row r="28" customFormat="false" ht="15" hidden="false" customHeight="false" outlineLevel="0" collapsed="false">
      <c r="A28" s="3" t="s">
        <v>86</v>
      </c>
      <c r="B28" s="8" t="n">
        <f aca="false">Constants!B34+E13*Constants!B35</f>
        <v>200</v>
      </c>
    </row>
    <row r="29" customFormat="false" ht="15" hidden="false" customHeight="false" outlineLevel="0" collapsed="false">
      <c r="A29" s="3" t="s">
        <v>87</v>
      </c>
      <c r="B29" s="8" t="n">
        <f aca="false">(1+Constants!B26)^B4</f>
        <v>1</v>
      </c>
    </row>
    <row r="31" customFormat="false" ht="15" hidden="false" customHeight="false" outlineLevel="0" collapsed="false">
      <c r="A31" s="2" t="s">
        <v>88</v>
      </c>
      <c r="B31" s="2"/>
      <c r="C31" s="2"/>
      <c r="D31" s="2"/>
      <c r="E31" s="2"/>
    </row>
    <row r="32" customFormat="false" ht="15" hidden="false" customHeight="false" outlineLevel="0" collapsed="false">
      <c r="A32" s="3" t="s">
        <v>89</v>
      </c>
      <c r="B32" s="8" t="n">
        <f aca="false">INDEX(Constants!B39:B47,MATCH(B6,Constants!A39:A47,0))</f>
        <v>1</v>
      </c>
    </row>
    <row r="33" customFormat="false" ht="15" hidden="false" customHeight="false" outlineLevel="0" collapsed="false">
      <c r="A33" s="3" t="s">
        <v>90</v>
      </c>
      <c r="B33" s="9" t="n">
        <f aca="false">E15/(E15+Constants!B50)</f>
        <v>0.024390243902439</v>
      </c>
    </row>
    <row r="34" customFormat="false" ht="15" hidden="false" customHeight="false" outlineLevel="0" collapsed="false">
      <c r="A34" s="3" t="s">
        <v>91</v>
      </c>
      <c r="B34" s="9" t="n">
        <f aca="false">IF(B7="Dual-Wield Weapon",Constants!B54+IF(B5="Melee DPS",Constants!B57,0),0)</f>
        <v>0.35</v>
      </c>
    </row>
    <row r="35" customFormat="false" ht="15" hidden="false" customHeight="false" outlineLevel="0" collapsed="false">
      <c r="A35" s="3" t="s">
        <v>92</v>
      </c>
      <c r="B35" s="9" t="n">
        <f aca="false">MIN(B33+B34,Constants!B51)</f>
        <v>0.374390243902439</v>
      </c>
    </row>
    <row r="36" customFormat="false" ht="15" hidden="false" customHeight="false" outlineLevel="0" collapsed="false">
      <c r="A36" s="3" t="s">
        <v>93</v>
      </c>
      <c r="B36" s="8" t="n">
        <f aca="false">B32*(1-B35)</f>
        <v>0.625609756097561</v>
      </c>
    </row>
    <row r="37" customFormat="false" ht="15" hidden="false" customHeight="false" outlineLevel="0" collapsed="false">
      <c r="A37" s="3" t="s">
        <v>94</v>
      </c>
      <c r="B37" s="8" t="n">
        <f aca="false">1/B36</f>
        <v>1.59844054580897</v>
      </c>
    </row>
    <row r="39" customFormat="false" ht="15" hidden="false" customHeight="false" outlineLevel="0" collapsed="false">
      <c r="A39" s="3" t="s">
        <v>95</v>
      </c>
      <c r="B39" s="9" t="n">
        <f aca="false">IF(B7="Shield",Constants!B64+IF(B5="Tank",Constants!B58,0),0)</f>
        <v>0</v>
      </c>
    </row>
    <row r="40" customFormat="false" ht="15" hidden="false" customHeight="false" outlineLevel="0" collapsed="false">
      <c r="A40" s="3" t="s">
        <v>96</v>
      </c>
      <c r="B40" s="8" t="n">
        <f aca="false">IF(B7="Shield",Constants!B65+IF(B5="Tank",Constants!B59,0),0)</f>
        <v>0</v>
      </c>
    </row>
    <row r="41" customFormat="false" ht="15" hidden="false" customHeight="false" outlineLevel="0" collapsed="false">
      <c r="A41" s="3" t="s">
        <v>97</v>
      </c>
      <c r="B41" s="9" t="n">
        <f aca="false">IF(AND(B5="Ranged DPS",B6="Bow"),Constants!B60,0)</f>
        <v>0</v>
      </c>
    </row>
    <row r="42" customFormat="false" ht="15" hidden="false" customHeight="false" outlineLevel="0" collapsed="false">
      <c r="A42" s="3" t="s">
        <v>98</v>
      </c>
      <c r="B42" s="9" t="n">
        <f aca="false">IF(AND(B5="Ranged DPS",B6="Bow"),Constants!B61,0)</f>
        <v>0</v>
      </c>
    </row>
    <row r="44" customFormat="false" ht="15" hidden="false" customHeight="false" outlineLevel="0" collapsed="false">
      <c r="A44" s="10" t="s">
        <v>99</v>
      </c>
      <c r="B44" s="10"/>
      <c r="C44" s="10"/>
      <c r="D44" s="10"/>
      <c r="E44" s="10"/>
    </row>
    <row r="46" customFormat="false" ht="15" hidden="false" customHeight="false" outlineLevel="0" collapsed="false">
      <c r="A46" s="3" t="s">
        <v>100</v>
      </c>
      <c r="B46" s="4" t="s">
        <v>79</v>
      </c>
      <c r="C46" s="5" t="s">
        <v>101</v>
      </c>
    </row>
  </sheetData>
  <mergeCells count="6">
    <mergeCell ref="A1:E1"/>
    <mergeCell ref="A9:E9"/>
    <mergeCell ref="A18:E18"/>
    <mergeCell ref="A25:E25"/>
    <mergeCell ref="A31:E31"/>
    <mergeCell ref="A44:E44"/>
  </mergeCells>
  <dataValidations count="4">
    <dataValidation allowBlank="false" errorStyle="stop" operator="between" showDropDown="false" showErrorMessage="false" showInputMessage="false" sqref="B5" type="list">
      <formula1>"Melee DPS,Tank,Ranged DPS,Caster"</formula1>
      <formula2>0</formula2>
    </dataValidation>
    <dataValidation allowBlank="false" errorStyle="stop" operator="between" showDropDown="false" showErrorMessage="false" showInputMessage="false" sqref="B6" type="list">
      <formula1>"Dagger,Wand,Sword,Bow,Axe,Mace,Staff,Tome,Greatsword"</formula1>
      <formula2>0</formula2>
    </dataValidation>
    <dataValidation allowBlank="false" errorStyle="stop" operator="between" showDropDown="false" showErrorMessage="false" showInputMessage="false" sqref="B7" type="list">
      <formula1>"Dual-Wield Weapon,Shield,None"</formula1>
      <formula2>0</formula2>
    </dataValidation>
    <dataValidation allowBlank="false" errorStyle="stop" operator="between" showDropDown="false" showErrorMessage="false" showInputMessage="false" sqref="B46" type="list">
      <formula1>"Fire,Ice,Lightning,Poison"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6"/>
  </cols>
  <sheetData>
    <row r="1" customFormat="false" ht="21.75" hidden="false" customHeight="true" outlineLevel="0" collapsed="false">
      <c r="A1" s="1" t="s">
        <v>102</v>
      </c>
      <c r="B1" s="1"/>
      <c r="C1" s="1"/>
    </row>
    <row r="2" customFormat="false" ht="15" hidden="false" customHeight="false" outlineLevel="0" collapsed="false">
      <c r="A2" s="10" t="s">
        <v>103</v>
      </c>
      <c r="B2" s="10"/>
      <c r="C2" s="10"/>
    </row>
    <row r="4" customFormat="false" ht="15" hidden="false" customHeight="false" outlineLevel="0" collapsed="false">
      <c r="A4" s="3" t="s">
        <v>104</v>
      </c>
      <c r="B4" s="4" t="n">
        <v>0</v>
      </c>
    </row>
    <row r="5" customFormat="false" ht="15" hidden="false" customHeight="false" outlineLevel="0" collapsed="false">
      <c r="A5" s="3" t="s">
        <v>60</v>
      </c>
      <c r="B5" s="4" t="s">
        <v>61</v>
      </c>
    </row>
    <row r="6" customFormat="false" ht="15" hidden="false" customHeight="false" outlineLevel="0" collapsed="false">
      <c r="A6" s="3" t="s">
        <v>62</v>
      </c>
      <c r="B6" s="4" t="s">
        <v>35</v>
      </c>
    </row>
    <row r="7" customFormat="false" ht="15" hidden="false" customHeight="false" outlineLevel="0" collapsed="false">
      <c r="A7" s="3" t="s">
        <v>63</v>
      </c>
      <c r="B7" s="4" t="s">
        <v>105</v>
      </c>
    </row>
    <row r="8" customFormat="false" ht="15" hidden="false" customHeight="false" outlineLevel="0" collapsed="false">
      <c r="A8" s="3" t="s">
        <v>106</v>
      </c>
      <c r="B8" s="4" t="s">
        <v>107</v>
      </c>
    </row>
    <row r="9" customFormat="false" ht="15" hidden="false" customHeight="false" outlineLevel="0" collapsed="false">
      <c r="A9" s="3" t="s">
        <v>108</v>
      </c>
      <c r="B9" s="4" t="s">
        <v>18</v>
      </c>
    </row>
    <row r="11" customFormat="false" ht="15" hidden="false" customHeight="false" outlineLevel="0" collapsed="false">
      <c r="A11" s="3" t="s">
        <v>109</v>
      </c>
      <c r="B11" s="8" t="n">
        <f aca="false">(1+Constants!B27)^B4</f>
        <v>1</v>
      </c>
      <c r="C11" s="5" t="s">
        <v>110</v>
      </c>
    </row>
    <row r="13" customFormat="false" ht="15" hidden="false" customHeight="false" outlineLevel="0" collapsed="false">
      <c r="A13" s="2" t="s">
        <v>65</v>
      </c>
      <c r="B13" s="2"/>
      <c r="C13" s="2"/>
    </row>
    <row r="14" customFormat="false" ht="15" hidden="false" customHeight="false" outlineLevel="0" collapsed="false">
      <c r="A14" s="7" t="s">
        <v>66</v>
      </c>
      <c r="B14" s="7" t="s">
        <v>67</v>
      </c>
      <c r="C14" s="7" t="s">
        <v>111</v>
      </c>
    </row>
    <row r="15" customFormat="false" ht="15" hidden="false" customHeight="false" outlineLevel="0" collapsed="false">
      <c r="A15" s="3" t="s">
        <v>71</v>
      </c>
      <c r="B15" s="4" t="n">
        <v>15</v>
      </c>
      <c r="C15" s="8" t="n">
        <f aca="false">B15*$B$11</f>
        <v>15</v>
      </c>
    </row>
    <row r="16" customFormat="false" ht="15" hidden="false" customHeight="false" outlineLevel="0" collapsed="false">
      <c r="A16" s="3" t="s">
        <v>72</v>
      </c>
      <c r="B16" s="4" t="n">
        <v>5</v>
      </c>
      <c r="C16" s="8" t="n">
        <f aca="false">B16*$B$11</f>
        <v>5</v>
      </c>
    </row>
    <row r="17" customFormat="false" ht="15" hidden="false" customHeight="false" outlineLevel="0" collapsed="false">
      <c r="A17" s="3" t="s">
        <v>73</v>
      </c>
      <c r="B17" s="4" t="n">
        <v>10</v>
      </c>
      <c r="C17" s="8" t="n">
        <f aca="false">B17*$B$11</f>
        <v>10</v>
      </c>
    </row>
    <row r="18" customFormat="false" ht="15" hidden="false" customHeight="false" outlineLevel="0" collapsed="false">
      <c r="A18" s="3" t="s">
        <v>74</v>
      </c>
      <c r="B18" s="4" t="n">
        <v>15</v>
      </c>
      <c r="C18" s="8" t="n">
        <f aca="false">B18*$B$11</f>
        <v>15</v>
      </c>
    </row>
    <row r="19" customFormat="false" ht="15" hidden="false" customHeight="false" outlineLevel="0" collapsed="false">
      <c r="A19" s="3" t="s">
        <v>75</v>
      </c>
      <c r="B19" s="4" t="n">
        <v>5</v>
      </c>
      <c r="C19" s="8" t="n">
        <f aca="false">B19*$B$11</f>
        <v>5</v>
      </c>
    </row>
    <row r="20" customFormat="false" ht="15" hidden="false" customHeight="false" outlineLevel="0" collapsed="false">
      <c r="A20" s="3" t="s">
        <v>76</v>
      </c>
      <c r="B20" s="4" t="n">
        <v>5</v>
      </c>
      <c r="C20" s="8" t="n">
        <f aca="false">B20*$B$11</f>
        <v>5</v>
      </c>
    </row>
    <row r="22" customFormat="false" ht="15" hidden="false" customHeight="false" outlineLevel="0" collapsed="false">
      <c r="A22" s="2" t="s">
        <v>77</v>
      </c>
      <c r="B22" s="2"/>
      <c r="C22" s="2"/>
    </row>
    <row r="23" customFormat="false" ht="15" hidden="false" customHeight="false" outlineLevel="0" collapsed="false">
      <c r="A23" s="7" t="s">
        <v>78</v>
      </c>
      <c r="B23" s="7" t="s">
        <v>67</v>
      </c>
      <c r="C23" s="7" t="s">
        <v>111</v>
      </c>
    </row>
    <row r="24" customFormat="false" ht="15" hidden="false" customHeight="false" outlineLevel="0" collapsed="false">
      <c r="A24" s="3" t="s">
        <v>79</v>
      </c>
      <c r="B24" s="4" t="n">
        <v>0</v>
      </c>
      <c r="C24" s="8" t="n">
        <f aca="false">B24*$B$11</f>
        <v>0</v>
      </c>
    </row>
    <row r="25" customFormat="false" ht="15" hidden="false" customHeight="false" outlineLevel="0" collapsed="false">
      <c r="A25" s="3" t="s">
        <v>80</v>
      </c>
      <c r="B25" s="4" t="n">
        <v>0</v>
      </c>
      <c r="C25" s="8" t="n">
        <f aca="false">B25*$B$11</f>
        <v>0</v>
      </c>
    </row>
    <row r="26" customFormat="false" ht="15" hidden="false" customHeight="false" outlineLevel="0" collapsed="false">
      <c r="A26" s="3" t="s">
        <v>81</v>
      </c>
      <c r="B26" s="4" t="n">
        <v>0</v>
      </c>
      <c r="C26" s="8" t="n">
        <f aca="false">B26*$B$11</f>
        <v>0</v>
      </c>
    </row>
    <row r="27" customFormat="false" ht="15" hidden="false" customHeight="false" outlineLevel="0" collapsed="false">
      <c r="A27" s="3" t="s">
        <v>82</v>
      </c>
      <c r="B27" s="4" t="n">
        <v>0</v>
      </c>
      <c r="C27" s="8" t="n">
        <f aca="false">B27*$B$11</f>
        <v>0</v>
      </c>
    </row>
    <row r="29" customFormat="false" ht="15" hidden="false" customHeight="false" outlineLevel="0" collapsed="false">
      <c r="A29" s="2" t="s">
        <v>83</v>
      </c>
      <c r="B29" s="2"/>
      <c r="C29" s="2"/>
    </row>
    <row r="30" customFormat="false" ht="15" hidden="false" customHeight="false" outlineLevel="0" collapsed="false">
      <c r="A30" s="3" t="s">
        <v>84</v>
      </c>
      <c r="B30" s="4" t="n">
        <v>15</v>
      </c>
    </row>
    <row r="31" customFormat="false" ht="15" hidden="false" customHeight="false" outlineLevel="0" collapsed="false">
      <c r="A31" s="3" t="s">
        <v>85</v>
      </c>
      <c r="B31" s="4" t="n">
        <v>15</v>
      </c>
    </row>
    <row r="32" customFormat="false" ht="15" hidden="false" customHeight="false" outlineLevel="0" collapsed="false">
      <c r="A32" s="3" t="s">
        <v>86</v>
      </c>
      <c r="B32" s="8" t="n">
        <f aca="false">Constants!B34+C17*Constants!B35</f>
        <v>200</v>
      </c>
    </row>
    <row r="34" customFormat="false" ht="15" hidden="false" customHeight="false" outlineLevel="0" collapsed="false">
      <c r="A34" s="2" t="s">
        <v>88</v>
      </c>
      <c r="B34" s="2"/>
      <c r="C34" s="2"/>
    </row>
    <row r="35" customFormat="false" ht="15" hidden="false" customHeight="false" outlineLevel="0" collapsed="false">
      <c r="A35" s="3" t="s">
        <v>89</v>
      </c>
      <c r="B35" s="8" t="n">
        <f aca="false">INDEX(Constants!B39:B47,MATCH(B6,Constants!A39:A47,0))</f>
        <v>1</v>
      </c>
    </row>
    <row r="36" customFormat="false" ht="15" hidden="false" customHeight="false" outlineLevel="0" collapsed="false">
      <c r="A36" s="3" t="s">
        <v>90</v>
      </c>
      <c r="B36" s="9" t="n">
        <f aca="false">C19/(C19+Constants!B50)</f>
        <v>0.024390243902439</v>
      </c>
    </row>
    <row r="37" customFormat="false" ht="15" hidden="false" customHeight="false" outlineLevel="0" collapsed="false">
      <c r="A37" s="3" t="s">
        <v>91</v>
      </c>
      <c r="B37" s="9" t="n">
        <f aca="false">IF(B7="Dual-Wield Weapon",Constants!B54+IF(B5="Melee DPS",Constants!B57,0),0)</f>
        <v>0</v>
      </c>
    </row>
    <row r="38" customFormat="false" ht="15" hidden="false" customHeight="false" outlineLevel="0" collapsed="false">
      <c r="A38" s="3" t="s">
        <v>92</v>
      </c>
      <c r="B38" s="9" t="n">
        <f aca="false">MIN(B36+B37,Constants!B51)</f>
        <v>0.024390243902439</v>
      </c>
    </row>
    <row r="39" customFormat="false" ht="15" hidden="false" customHeight="false" outlineLevel="0" collapsed="false">
      <c r="A39" s="3" t="s">
        <v>93</v>
      </c>
      <c r="B39" s="8" t="n">
        <f aca="false">B35*(1-B38)</f>
        <v>0.975609756097561</v>
      </c>
    </row>
    <row r="40" customFormat="false" ht="15" hidden="false" customHeight="false" outlineLevel="0" collapsed="false">
      <c r="A40" s="3" t="s">
        <v>94</v>
      </c>
      <c r="B40" s="8" t="n">
        <f aca="false">1/B39</f>
        <v>1.025</v>
      </c>
    </row>
    <row r="42" customFormat="false" ht="15" hidden="false" customHeight="false" outlineLevel="0" collapsed="false">
      <c r="A42" s="3" t="s">
        <v>95</v>
      </c>
      <c r="B42" s="9" t="n">
        <f aca="false">IF(B7="Shield",Constants!B64+IF(B5="Tank",Constants!B58,0),0)</f>
        <v>0</v>
      </c>
    </row>
    <row r="43" customFormat="false" ht="15" hidden="false" customHeight="false" outlineLevel="0" collapsed="false">
      <c r="A43" s="3" t="s">
        <v>96</v>
      </c>
      <c r="B43" s="8" t="n">
        <f aca="false">IF(B7="Shield",Constants!B65+IF(B5="Tank",Constants!B59,0),0)</f>
        <v>0</v>
      </c>
    </row>
    <row r="44" customFormat="false" ht="15" hidden="false" customHeight="false" outlineLevel="0" collapsed="false">
      <c r="A44" s="3" t="s">
        <v>97</v>
      </c>
      <c r="B44" s="9" t="n">
        <f aca="false">IF(AND(B5="Ranged DPS",B6="Bow"),Constants!B60,0)</f>
        <v>0</v>
      </c>
    </row>
    <row r="45" customFormat="false" ht="15" hidden="false" customHeight="false" outlineLevel="0" collapsed="false">
      <c r="A45" s="3" t="s">
        <v>98</v>
      </c>
      <c r="B45" s="9" t="n">
        <f aca="false">IF(AND(B5="Ranged DPS",B6="Bow"),Constants!B61,0)</f>
        <v>0</v>
      </c>
    </row>
    <row r="47" customFormat="false" ht="15" hidden="false" customHeight="false" outlineLevel="0" collapsed="false">
      <c r="A47" s="3" t="s">
        <v>112</v>
      </c>
      <c r="B47" s="9" t="n">
        <f aca="false">Constants!B12+(C20/(C20+Constants!B14))*Constants!B13+B44</f>
        <v>0.060655737704918</v>
      </c>
    </row>
    <row r="48" customFormat="false" ht="15" hidden="false" customHeight="false" outlineLevel="0" collapsed="false">
      <c r="A48" s="3" t="s">
        <v>113</v>
      </c>
      <c r="B48" s="8" t="n">
        <f aca="false">Constants!B15+(C20/(C20+Constants!B17))*Constants!B16</f>
        <v>1.54098360655738</v>
      </c>
    </row>
    <row r="50" customFormat="false" ht="15" hidden="false" customHeight="false" outlineLevel="0" collapsed="false">
      <c r="A50" s="10" t="s">
        <v>114</v>
      </c>
      <c r="B50" s="10"/>
      <c r="C50" s="10"/>
    </row>
  </sheetData>
  <mergeCells count="7">
    <mergeCell ref="A1:C1"/>
    <mergeCell ref="A2:C2"/>
    <mergeCell ref="A13:C13"/>
    <mergeCell ref="A22:C22"/>
    <mergeCell ref="A29:C29"/>
    <mergeCell ref="A34:C34"/>
    <mergeCell ref="A50:C50"/>
  </mergeCells>
  <dataValidations count="5">
    <dataValidation allowBlank="false" errorStyle="stop" operator="between" showDropDown="false" showErrorMessage="false" showInputMessage="false" sqref="B5" type="list">
      <formula1>"Melee DPS,Tank,Ranged DPS,Caster"</formula1>
      <formula2>0</formula2>
    </dataValidation>
    <dataValidation allowBlank="false" errorStyle="stop" operator="between" showDropDown="false" showErrorMessage="false" showInputMessage="false" sqref="B6" type="list">
      <formula1>"Dagger,Wand,Sword,Bow,Axe,Mace,Staff,Tome,Greatsword"</formula1>
      <formula2>0</formula2>
    </dataValidation>
    <dataValidation allowBlank="false" errorStyle="stop" operator="between" showDropDown="false" showErrorMessage="false" showInputMessage="false" sqref="B7" type="list">
      <formula1>"Dual-Wield Weapon,Shield,None"</formula1>
      <formula2>0</formula2>
    </dataValidation>
    <dataValidation allowBlank="false" errorStyle="stop" operator="between" showDropDown="false" showErrorMessage="false" showInputMessage="false" sqref="B8" type="list">
      <formula1>"Physical,Fire,Ice,Lightning,Poison"</formula1>
      <formula2>0</formula2>
    </dataValidation>
    <dataValidation allowBlank="false" errorStyle="stop" operator="between" showDropDown="false" showErrorMessage="false" showInputMessage="false" sqref="B9" type="list">
      <formula1>"Weak,Neutral,Resistant,Immune"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4"/>
  </cols>
  <sheetData>
    <row r="1" customFormat="false" ht="21.75" hidden="false" customHeight="true" outlineLevel="0" collapsed="false">
      <c r="A1" s="1" t="s">
        <v>115</v>
      </c>
      <c r="B1" s="1"/>
    </row>
    <row r="3" customFormat="false" ht="15" hidden="false" customHeight="false" outlineLevel="0" collapsed="false">
      <c r="A3" s="2" t="s">
        <v>116</v>
      </c>
      <c r="B3" s="2"/>
    </row>
    <row r="4" customFormat="false" ht="15" hidden="false" customHeight="false" outlineLevel="0" collapsed="false">
      <c r="A4" s="3" t="s">
        <v>117</v>
      </c>
      <c r="B4" s="8" t="n">
        <f aca="false">PlayerBuild!B26*(1+PlayerBuild!E11/Constants!B30)</f>
        <v>21</v>
      </c>
    </row>
    <row r="5" customFormat="false" ht="15" hidden="false" customHeight="false" outlineLevel="0" collapsed="false">
      <c r="A5" s="3" t="s">
        <v>118</v>
      </c>
      <c r="B5" s="9" t="n">
        <f aca="false">EnemyBuild!C18/(EnemyBuild!C18+Constants!B4)</f>
        <v>0.130434782608696</v>
      </c>
    </row>
    <row r="6" customFormat="false" ht="15" hidden="false" customHeight="false" outlineLevel="0" collapsed="false">
      <c r="A6" s="3" t="s">
        <v>119</v>
      </c>
      <c r="B6" s="8" t="n">
        <f aca="false">B4*(1-B5)</f>
        <v>18.2608695652174</v>
      </c>
    </row>
    <row r="7" customFormat="false" ht="15" hidden="false" customHeight="false" outlineLevel="0" collapsed="false">
      <c r="A7" s="3" t="s">
        <v>120</v>
      </c>
      <c r="B7" s="8" t="n">
        <f aca="false">IF(EnemyBuild!B9="Weak",Constants!B20,IF(EnemyBuild!B9="Resistant",Constants!B22,IF(EnemyBuild!B9="Immune",Constants!B23,Constants!B21)))</f>
        <v>1</v>
      </c>
    </row>
    <row r="8" customFormat="false" ht="15" hidden="false" customHeight="false" outlineLevel="0" collapsed="false">
      <c r="A8" s="3" t="s">
        <v>121</v>
      </c>
      <c r="B8" s="8" t="n">
        <f aca="false">B6*B7</f>
        <v>18.2608695652174</v>
      </c>
    </row>
    <row r="9" customFormat="false" ht="15" hidden="false" customHeight="false" outlineLevel="0" collapsed="false">
      <c r="A9" s="3" t="s">
        <v>112</v>
      </c>
      <c r="B9" s="9" t="n">
        <f aca="false">Constants!B12+(PlayerBuild!E16/(PlayerBuild!E16+Constants!B14))*Constants!B13+PlayerBuild!B41</f>
        <v>0.060655737704918</v>
      </c>
    </row>
    <row r="10" customFormat="false" ht="15" hidden="false" customHeight="false" outlineLevel="0" collapsed="false">
      <c r="A10" s="3" t="s">
        <v>113</v>
      </c>
      <c r="B10" s="8" t="n">
        <f aca="false">Constants!B15+(PlayerBuild!E16/(PlayerBuild!E16+Constants!B17))*Constants!B16</f>
        <v>1.54098360655738</v>
      </c>
    </row>
    <row r="11" customFormat="false" ht="15" hidden="false" customHeight="false" outlineLevel="0" collapsed="false">
      <c r="A11" s="3" t="s">
        <v>122</v>
      </c>
      <c r="B11" s="8" t="n">
        <f aca="false">B8*(1+B9*(B10-1))</f>
        <v>18.8600773518105</v>
      </c>
    </row>
    <row r="12" customFormat="false" ht="15" hidden="false" customHeight="false" outlineLevel="0" collapsed="false">
      <c r="A12" s="3" t="s">
        <v>123</v>
      </c>
      <c r="B12" s="11" t="n">
        <f aca="false">1+PlayerBuild!B42</f>
        <v>1</v>
      </c>
    </row>
    <row r="13" customFormat="false" ht="15" hidden="false" customHeight="false" outlineLevel="0" collapsed="false">
      <c r="A13" s="3" t="s">
        <v>87</v>
      </c>
      <c r="B13" s="8" t="n">
        <f aca="false">PlayerBuild!B29</f>
        <v>1</v>
      </c>
    </row>
    <row r="14" customFormat="false" ht="15" hidden="false" customHeight="false" outlineLevel="0" collapsed="false">
      <c r="A14" s="3" t="s">
        <v>124</v>
      </c>
      <c r="B14" s="8" t="n">
        <f aca="false">B11*B12*B13</f>
        <v>18.8600773518105</v>
      </c>
    </row>
    <row r="15" customFormat="false" ht="15" hidden="false" customHeight="false" outlineLevel="0" collapsed="false">
      <c r="A15" s="3" t="s">
        <v>94</v>
      </c>
      <c r="B15" s="8" t="n">
        <f aca="false">PlayerBuild!B37</f>
        <v>1.59844054580897</v>
      </c>
    </row>
    <row r="16" customFormat="false" ht="15" hidden="false" customHeight="false" outlineLevel="0" collapsed="false">
      <c r="A16" s="3" t="s">
        <v>125</v>
      </c>
      <c r="B16" s="8" t="n">
        <f aca="false">B14*B15</f>
        <v>30.1467123362273</v>
      </c>
    </row>
    <row r="17" customFormat="false" ht="15" hidden="false" customHeight="false" outlineLevel="0" collapsed="false">
      <c r="A17" s="3" t="s">
        <v>126</v>
      </c>
      <c r="B17" s="8" t="n">
        <f aca="false">EnemyBuild!B32</f>
        <v>200</v>
      </c>
    </row>
    <row r="18" customFormat="false" ht="15" hidden="false" customHeight="false" outlineLevel="0" collapsed="false">
      <c r="A18" s="3" t="s">
        <v>127</v>
      </c>
      <c r="B18" s="8" t="n">
        <f aca="false">B17/B16</f>
        <v>6.63422259015819</v>
      </c>
    </row>
    <row r="19" customFormat="false" ht="15" hidden="false" customHeight="false" outlineLevel="0" collapsed="false">
      <c r="A19" s="3" t="s">
        <v>128</v>
      </c>
      <c r="B19" s="8" t="n">
        <f aca="false">ROUNDUP(B17/B14,0)</f>
        <v>11</v>
      </c>
    </row>
    <row r="20" customFormat="false" ht="15" hidden="false" customHeight="false" outlineLevel="0" collapsed="false">
      <c r="A20" s="3" t="s">
        <v>129</v>
      </c>
      <c r="B20" s="12" t="str">
        <f aca="false">IF(AND(B19&gt;=4,B19&lt;=8),"In target range (4-8 hits)","Outside target range (4-8 hits)")</f>
        <v>Outside target range (4-8 hits)</v>
      </c>
    </row>
    <row r="22" customFormat="false" ht="15" hidden="false" customHeight="false" outlineLevel="0" collapsed="false">
      <c r="A22" s="2" t="s">
        <v>130</v>
      </c>
      <c r="B22" s="2"/>
    </row>
    <row r="23" customFormat="false" ht="15" hidden="false" customHeight="false" outlineLevel="0" collapsed="false">
      <c r="A23" s="3" t="s">
        <v>117</v>
      </c>
      <c r="B23" s="8" t="n">
        <f aca="false">PlayerBuild!B27*(1+PlayerBuild!E12/Constants!B31)</f>
        <v>21</v>
      </c>
    </row>
    <row r="24" customFormat="false" ht="15" hidden="false" customHeight="false" outlineLevel="0" collapsed="false">
      <c r="A24" s="3" t="s">
        <v>131</v>
      </c>
      <c r="B24" s="8" t="n">
        <f aca="false">IF(PlayerBuild!B46="Fire",EnemyBuild!C24,IF(PlayerBuild!B46="Ice",EnemyBuild!C25,IF(PlayerBuild!B46="Lightning",EnemyBuild!C26,EnemyBuild!C27)))</f>
        <v>0</v>
      </c>
    </row>
    <row r="25" customFormat="false" ht="15" hidden="false" customHeight="false" outlineLevel="0" collapsed="false">
      <c r="A25" s="3" t="s">
        <v>118</v>
      </c>
      <c r="B25" s="9" t="n">
        <f aca="false">B24/(B24+Constants!B5)</f>
        <v>0</v>
      </c>
    </row>
    <row r="26" customFormat="false" ht="15" hidden="false" customHeight="false" outlineLevel="0" collapsed="false">
      <c r="A26" s="3" t="s">
        <v>119</v>
      </c>
      <c r="B26" s="8" t="n">
        <f aca="false">B23*(1-B25)</f>
        <v>21</v>
      </c>
    </row>
    <row r="27" customFormat="false" ht="15" hidden="false" customHeight="false" outlineLevel="0" collapsed="false">
      <c r="A27" s="3" t="s">
        <v>120</v>
      </c>
      <c r="B27" s="8" t="n">
        <f aca="false">B7</f>
        <v>1</v>
      </c>
    </row>
    <row r="28" customFormat="false" ht="15" hidden="false" customHeight="false" outlineLevel="0" collapsed="false">
      <c r="A28" s="3" t="s">
        <v>121</v>
      </c>
      <c r="B28" s="8" t="n">
        <f aca="false">B26*B27</f>
        <v>21</v>
      </c>
    </row>
    <row r="29" customFormat="false" ht="15" hidden="false" customHeight="false" outlineLevel="0" collapsed="false">
      <c r="A29" s="3" t="s">
        <v>112</v>
      </c>
      <c r="B29" s="9" t="n">
        <f aca="false">B9</f>
        <v>0.060655737704918</v>
      </c>
    </row>
    <row r="30" customFormat="false" ht="15" hidden="false" customHeight="false" outlineLevel="0" collapsed="false">
      <c r="A30" s="3" t="s">
        <v>113</v>
      </c>
      <c r="B30" s="8" t="n">
        <f aca="false">B10</f>
        <v>1.54098360655738</v>
      </c>
    </row>
    <row r="31" customFormat="false" ht="15" hidden="false" customHeight="false" outlineLevel="0" collapsed="false">
      <c r="A31" s="3" t="s">
        <v>122</v>
      </c>
      <c r="B31" s="8" t="n">
        <f aca="false">B28*(1+B29*(B30-1))</f>
        <v>21.6890889545821</v>
      </c>
    </row>
    <row r="32" customFormat="false" ht="15" hidden="false" customHeight="false" outlineLevel="0" collapsed="false">
      <c r="A32" s="3" t="s">
        <v>87</v>
      </c>
      <c r="B32" s="8" t="n">
        <f aca="false">B13</f>
        <v>1</v>
      </c>
    </row>
    <row r="33" customFormat="false" ht="15" hidden="false" customHeight="false" outlineLevel="0" collapsed="false">
      <c r="A33" s="3" t="s">
        <v>124</v>
      </c>
      <c r="B33" s="8" t="n">
        <f aca="false">B31*B32</f>
        <v>21.6890889545821</v>
      </c>
    </row>
    <row r="34" customFormat="false" ht="15" hidden="false" customHeight="false" outlineLevel="0" collapsed="false">
      <c r="A34" s="3" t="s">
        <v>94</v>
      </c>
      <c r="B34" s="8" t="n">
        <f aca="false">PlayerBuild!B37</f>
        <v>1.59844054580897</v>
      </c>
    </row>
    <row r="35" customFormat="false" ht="15" hidden="false" customHeight="false" outlineLevel="0" collapsed="false">
      <c r="A35" s="3" t="s">
        <v>132</v>
      </c>
      <c r="B35" s="8" t="n">
        <f aca="false">B33*B34</f>
        <v>34.6687191866615</v>
      </c>
    </row>
    <row r="36" customFormat="false" ht="15" hidden="false" customHeight="false" outlineLevel="0" collapsed="false">
      <c r="A36" s="3" t="s">
        <v>126</v>
      </c>
      <c r="B36" s="8" t="n">
        <f aca="false">B17</f>
        <v>200</v>
      </c>
    </row>
    <row r="37" customFormat="false" ht="15" hidden="false" customHeight="false" outlineLevel="0" collapsed="false">
      <c r="A37" s="3" t="s">
        <v>127</v>
      </c>
      <c r="B37" s="8" t="n">
        <f aca="false">B36/B35</f>
        <v>5.76888920883321</v>
      </c>
    </row>
    <row r="38" customFormat="false" ht="15" hidden="false" customHeight="false" outlineLevel="0" collapsed="false">
      <c r="A38" s="3" t="s">
        <v>128</v>
      </c>
      <c r="B38" s="8" t="n">
        <f aca="false">ROUNDUP(B36/B33,0)</f>
        <v>10</v>
      </c>
    </row>
    <row r="39" customFormat="false" ht="15" hidden="false" customHeight="false" outlineLevel="0" collapsed="false">
      <c r="A39" s="3" t="s">
        <v>129</v>
      </c>
      <c r="B39" s="12" t="str">
        <f aca="false">IF(AND(B38&gt;=4,B38&lt;=8),"In target range (4-8 hits)","Outside target range (4-8 hits)")</f>
        <v>Outside target range (4-8 hits)</v>
      </c>
    </row>
    <row r="41" customFormat="false" ht="15" hidden="false" customHeight="false" outlineLevel="0" collapsed="false">
      <c r="A41" s="2" t="s">
        <v>133</v>
      </c>
      <c r="B41" s="2"/>
    </row>
    <row r="42" customFormat="false" ht="15" hidden="false" customHeight="false" outlineLevel="0" collapsed="false">
      <c r="A42" s="3" t="s">
        <v>134</v>
      </c>
      <c r="B42" s="8" t="str">
        <f aca="false">EnemyBuild!B8</f>
        <v>Physical</v>
      </c>
    </row>
    <row r="43" customFormat="false" ht="15" hidden="false" customHeight="false" outlineLevel="0" collapsed="false">
      <c r="A43" s="3" t="s">
        <v>135</v>
      </c>
      <c r="B43" s="8" t="n">
        <f aca="false">IF(B42="Physical",EnemyBuild!B30*(1+EnemyBuild!C15/Constants!B30),EnemyBuild!B31*(1+EnemyBuild!C16/Constants!B31))</f>
        <v>17.25</v>
      </c>
    </row>
    <row r="44" customFormat="false" ht="15" hidden="false" customHeight="false" outlineLevel="0" collapsed="false">
      <c r="A44" s="3" t="s">
        <v>136</v>
      </c>
      <c r="B44" s="8" t="n">
        <f aca="false">IF(B42="Physical",PlayerBuild!E14+PlayerBuild!B40,IF(B42="Fire",PlayerBuild!E20,IF(B42="Ice",PlayerBuild!E21,IF(B42="Lightning",PlayerBuild!E22,IF(B42="Poison",PlayerBuild!E23,PlayerBuild!E14+PlayerBuild!B40)))))</f>
        <v>5</v>
      </c>
    </row>
    <row r="45" customFormat="false" ht="15" hidden="false" customHeight="false" outlineLevel="0" collapsed="false">
      <c r="A45" s="3" t="s">
        <v>137</v>
      </c>
      <c r="B45" s="8" t="n">
        <f aca="false">IF(B42="Physical",Constants!B4,Constants!B5)</f>
        <v>100</v>
      </c>
    </row>
    <row r="46" customFormat="false" ht="15" hidden="false" customHeight="false" outlineLevel="0" collapsed="false">
      <c r="A46" s="3" t="s">
        <v>118</v>
      </c>
      <c r="B46" s="9" t="n">
        <f aca="false">B44/(B44+B45)</f>
        <v>0.0476190476190476</v>
      </c>
    </row>
    <row r="47" customFormat="false" ht="15" hidden="false" customHeight="false" outlineLevel="0" collapsed="false">
      <c r="A47" s="3" t="s">
        <v>119</v>
      </c>
      <c r="B47" s="8" t="n">
        <f aca="false">B43*(1-B46)</f>
        <v>16.4285714285714</v>
      </c>
    </row>
    <row r="48" customFormat="false" ht="15" hidden="false" customHeight="false" outlineLevel="0" collapsed="false">
      <c r="A48" s="3" t="s">
        <v>138</v>
      </c>
      <c r="B48" s="9" t="n">
        <f aca="false">EnemyBuild!B47</f>
        <v>0.060655737704918</v>
      </c>
    </row>
    <row r="49" customFormat="false" ht="15" hidden="false" customHeight="false" outlineLevel="0" collapsed="false">
      <c r="A49" s="3" t="s">
        <v>139</v>
      </c>
      <c r="B49" s="8" t="n">
        <f aca="false">EnemyBuild!B48</f>
        <v>1.54098360655738</v>
      </c>
    </row>
    <row r="50" customFormat="false" ht="15" hidden="false" customHeight="false" outlineLevel="0" collapsed="false">
      <c r="A50" s="3" t="s">
        <v>122</v>
      </c>
      <c r="B50" s="8" t="n">
        <f aca="false">B47*(1+B48*(B49-1))</f>
        <v>16.9676546243329</v>
      </c>
    </row>
    <row r="51" customFormat="false" ht="15" hidden="false" customHeight="false" outlineLevel="0" collapsed="false">
      <c r="A51" s="3" t="s">
        <v>109</v>
      </c>
      <c r="B51" s="8" t="n">
        <f aca="false">EnemyBuild!B11</f>
        <v>1</v>
      </c>
    </row>
    <row r="52" customFormat="false" ht="15" hidden="false" customHeight="false" outlineLevel="0" collapsed="false">
      <c r="A52" s="3" t="s">
        <v>124</v>
      </c>
      <c r="B52" s="8" t="n">
        <f aca="false">B50*B51</f>
        <v>16.9676546243329</v>
      </c>
    </row>
    <row r="53" customFormat="false" ht="15" hidden="false" customHeight="false" outlineLevel="0" collapsed="false">
      <c r="A53" s="3" t="s">
        <v>140</v>
      </c>
      <c r="B53" s="9" t="n">
        <f aca="false">PlayerBuild!B39</f>
        <v>0</v>
      </c>
    </row>
    <row r="54" customFormat="false" ht="15" hidden="false" customHeight="false" outlineLevel="0" collapsed="false">
      <c r="A54" s="3" t="s">
        <v>141</v>
      </c>
      <c r="B54" s="9" t="n">
        <f aca="false">Constants!B66</f>
        <v>0.5</v>
      </c>
    </row>
    <row r="55" customFormat="false" ht="15" hidden="false" customHeight="false" outlineLevel="0" collapsed="false">
      <c r="A55" s="3" t="s">
        <v>142</v>
      </c>
      <c r="B55" s="8" t="n">
        <f aca="false">1-(B53*B54)</f>
        <v>1</v>
      </c>
    </row>
    <row r="56" customFormat="false" ht="15" hidden="false" customHeight="false" outlineLevel="0" collapsed="false">
      <c r="A56" s="3" t="s">
        <v>143</v>
      </c>
      <c r="B56" s="8" t="n">
        <f aca="false">B52*B55</f>
        <v>16.9676546243329</v>
      </c>
    </row>
    <row r="57" customFormat="false" ht="15" hidden="false" customHeight="false" outlineLevel="0" collapsed="false">
      <c r="A57" s="3" t="s">
        <v>144</v>
      </c>
      <c r="B57" s="8" t="n">
        <f aca="false">EnemyBuild!B40</f>
        <v>1.025</v>
      </c>
    </row>
    <row r="58" customFormat="false" ht="15" hidden="false" customHeight="false" outlineLevel="0" collapsed="false">
      <c r="A58" s="3" t="s">
        <v>145</v>
      </c>
      <c r="B58" s="8" t="n">
        <f aca="false">B56*B57</f>
        <v>17.3918459899413</v>
      </c>
    </row>
    <row r="59" customFormat="false" ht="15" hidden="false" customHeight="false" outlineLevel="0" collapsed="false">
      <c r="A59" s="3" t="s">
        <v>146</v>
      </c>
      <c r="B59" s="8" t="n">
        <f aca="false">PlayerBuild!B28</f>
        <v>200</v>
      </c>
    </row>
    <row r="60" customFormat="false" ht="15" hidden="false" customHeight="false" outlineLevel="0" collapsed="false">
      <c r="A60" s="3" t="s">
        <v>147</v>
      </c>
      <c r="B60" s="8" t="n">
        <f aca="false">B59/B58</f>
        <v>11.4996418503057</v>
      </c>
    </row>
    <row r="61" customFormat="false" ht="15" hidden="false" customHeight="false" outlineLevel="0" collapsed="false">
      <c r="A61" s="3" t="s">
        <v>148</v>
      </c>
      <c r="B61" s="8" t="n">
        <f aca="false">ROUNDUP(B59/B56,0)</f>
        <v>12</v>
      </c>
    </row>
    <row r="62" customFormat="false" ht="15" hidden="false" customHeight="false" outlineLevel="0" collapsed="false">
      <c r="A62" s="3" t="s">
        <v>129</v>
      </c>
      <c r="B62" s="12" t="str">
        <f aca="false">IF(B61&gt;=10,"Forgiving (10+ hits)","Below target (&lt;10 hits)")</f>
        <v>Forgiving (10+ hits)</v>
      </c>
    </row>
    <row r="64" customFormat="false" ht="15" hidden="false" customHeight="false" outlineLevel="0" collapsed="false">
      <c r="A64" s="10" t="s">
        <v>149</v>
      </c>
      <c r="B64" s="10"/>
    </row>
  </sheetData>
  <mergeCells count="5">
    <mergeCell ref="A1:B1"/>
    <mergeCell ref="A3:B3"/>
    <mergeCell ref="A22:B22"/>
    <mergeCell ref="A41:B41"/>
    <mergeCell ref="A64:B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2026-08-16T20:28:55Z</dcterms:created>
  <dc:creator>openpyxl</dc:creator>
  <dc:description/>
  <dc:language>en-US</dc:language>
  <cp:lastModifiedBy/>
  <dcterms:modified xsi:type="dcterms:W3CDTF">2026-08-16T20:28:55Z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