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stants" sheetId="1" state="visible" r:id="rId3"/>
    <sheet name="PlayerBuild" sheetId="2" state="visible" r:id="rId4"/>
    <sheet name="EnemyBuild" sheetId="3" state="visible" r:id="rId5"/>
    <sheet name="Calculator" sheetId="4" state="visible" r:id="rId6"/>
    <sheet name="Levelin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<sst xmlns="http://schemas.openxmlformats.org/spreadsheetml/2006/main" count="285" uniqueCount="210">
  <si>
    <t xml:space="preserve">TUNING CONSTANTS</t>
  </si>
  <si>
    <t xml:space="preserve">Mitigation</t>
  </si>
  <si>
    <t xml:space="preserve">K_DEF</t>
  </si>
  <si>
    <t xml:space="preserve">Physical mitigation soft-cap. Mitigation% = DEF/(DEF+K_DEF).</t>
  </si>
  <si>
    <t xml:space="preserve">K_elem</t>
  </si>
  <si>
    <t xml:space="preserve">Elemental mitigation soft-cap (shared across elements).</t>
  </si>
  <si>
    <t xml:space="preserve">Damage Variance</t>
  </si>
  <si>
    <t xml:space="preserve">VarianceMin</t>
  </si>
  <si>
    <t xml:space="preserve">VarianceMax</t>
  </si>
  <si>
    <t xml:space="preserve">Critical Hits</t>
  </si>
  <si>
    <t xml:space="preserve">BaseCritChance</t>
  </si>
  <si>
    <t xml:space="preserve">MaxCritChanceBonus</t>
  </si>
  <si>
    <t xml:space="preserve">K_crit</t>
  </si>
  <si>
    <t xml:space="preserve">BaseCritMult</t>
  </si>
  <si>
    <t xml:space="preserve">MaxCritMultBonus</t>
  </si>
  <si>
    <t xml:space="preserve">K_critmult</t>
  </si>
  <si>
    <t xml:space="preserve">Elemental Type Multipliers</t>
  </si>
  <si>
    <t xml:space="preserve">Weak</t>
  </si>
  <si>
    <t xml:space="preserve">Neutral</t>
  </si>
  <si>
    <t xml:space="preserve">Resistant</t>
  </si>
  <si>
    <t xml:space="preserve">Immune</t>
  </si>
  <si>
    <t xml:space="preserve">Reincarnation / Difficulty</t>
  </si>
  <si>
    <t xml:space="preserve">r (player power bonus/loop)</t>
  </si>
  <si>
    <t xml:space="preserve">d (enemy difficulty growth/loop)</t>
  </si>
  <si>
    <t xml:space="preserve">Stat Scaling</t>
  </si>
  <si>
    <t xml:space="preserve">STR_Divisor</t>
  </si>
  <si>
    <t xml:space="preserve">INT_Divisor</t>
  </si>
  <si>
    <t xml:space="preserve">Health</t>
  </si>
  <si>
    <t xml:space="preserve">BaseHP</t>
  </si>
  <si>
    <t xml:space="preserve">HPperVIT</t>
  </si>
  <si>
    <t xml:space="preserve">Weapon Archetypes — Base Cooldown (sec)</t>
  </si>
  <si>
    <t xml:space="preserve">Weapon</t>
  </si>
  <si>
    <t xml:space="preserve">Base Cooldown</t>
  </si>
  <si>
    <t xml:space="preserve">Dagger</t>
  </si>
  <si>
    <t xml:space="preserve">Wand</t>
  </si>
  <si>
    <t xml:space="preserve">Sword</t>
  </si>
  <si>
    <t xml:space="preserve">Bow</t>
  </si>
  <si>
    <t xml:space="preserve">Axe</t>
  </si>
  <si>
    <t xml:space="preserve">Mace</t>
  </si>
  <si>
    <t xml:space="preserve">Staff</t>
  </si>
  <si>
    <t xml:space="preserve">Tome</t>
  </si>
  <si>
    <t xml:space="preserve">Greatsword</t>
  </si>
  <si>
    <t xml:space="preserve">Haste &amp; Cooldown Reduction</t>
  </si>
  <si>
    <t xml:space="preserve">K_haste</t>
  </si>
  <si>
    <t xml:space="preserve">MaxCDR (cap)</t>
  </si>
  <si>
    <t xml:space="preserve">Dual Wield</t>
  </si>
  <si>
    <t xml:space="preserve">DualWieldBaseCDR</t>
  </si>
  <si>
    <t xml:space="preserve">Class Mastery Bonuses</t>
  </si>
  <si>
    <t xml:space="preserve">MeleeDPS DualWield CDR Bonus</t>
  </si>
  <si>
    <t xml:space="preserve">Tank Shield Block Bonus</t>
  </si>
  <si>
    <t xml:space="preserve">Tank Shield DEF Bonus (flat)</t>
  </si>
  <si>
    <t xml:space="preserve">RangedDPS Bow Crit Bonus</t>
  </si>
  <si>
    <t xml:space="preserve">RangedDPS Bow Damage Bonus</t>
  </si>
  <si>
    <t xml:space="preserve">CasterDPS Staff Damage Bonus</t>
  </si>
  <si>
    <t xml:space="preserve">CasterDPS Staff Crit Bonus</t>
  </si>
  <si>
    <t xml:space="preserve">CasterDPS Staff Penetration Bonus</t>
  </si>
  <si>
    <t xml:space="preserve">Support Tome Buff Potency Bonus</t>
  </si>
  <si>
    <t xml:space="preserve">Shield / Block</t>
  </si>
  <si>
    <t xml:space="preserve">BaseBlockChance</t>
  </si>
  <si>
    <t xml:space="preserve">BaseShieldDEF (flat)</t>
  </si>
  <si>
    <t xml:space="preserve">BlockDamageReduction</t>
  </si>
  <si>
    <t xml:space="preserve">Experience &amp; Leveling</t>
  </si>
  <si>
    <t xml:space="preserve">XPBase</t>
  </si>
  <si>
    <t xml:space="preserve">XP required for Level 1→2 at Loop 0. Sets overall magnitude of XP numbers.</t>
  </si>
  <si>
    <t xml:space="preserve">XPGrowth (g, per-level %)</t>
  </si>
  <si>
    <t xml:space="preserve">Per-level compounding growth. Controls how 'big' late-game XP numbers get.</t>
  </si>
  <si>
    <t xml:space="preserve">LevelCap</t>
  </si>
  <si>
    <t xml:space="preserve">KillsPerLevel</t>
  </si>
  <si>
    <t xml:space="preserve">Avg on-level kills to gain 1 level. Primary pacing knob — independent of XPGrowth.</t>
  </si>
  <si>
    <t xml:space="preserve">GreyThreshold (levels below = 0% XP)</t>
  </si>
  <si>
    <t xml:space="preserve">YellowThreshold (levels below = ramp starts)</t>
  </si>
  <si>
    <t xml:space="preserve">BonusXPPerOverLevel</t>
  </si>
  <si>
    <t xml:space="preserve">MaxBonusXP (cap)</t>
  </si>
  <si>
    <t xml:space="preserve">Playtime Assumptions (pacing calibration)</t>
  </si>
  <si>
    <t xml:space="preserve">Active Hours / Day</t>
  </si>
  <si>
    <t xml:space="preserve">Idle/Autoplay Hours / Day</t>
  </si>
  <si>
    <t xml:space="preserve">Active Kills / Hour</t>
  </si>
  <si>
    <t xml:space="preserve">Idle Kills / Hour</t>
  </si>
  <si>
    <t xml:space="preserve">Target Days To Rebirth (design goal)</t>
  </si>
  <si>
    <t xml:space="preserve">PLAYER BUILD</t>
  </si>
  <si>
    <t xml:space="preserve">Level</t>
  </si>
  <si>
    <t xml:space="preserve">Reincarnations (N)</t>
  </si>
  <si>
    <t xml:space="preserve">Class</t>
  </si>
  <si>
    <t xml:space="preserve">Melee DPS</t>
  </si>
  <si>
    <t xml:space="preserve">Main-Hand Weapon</t>
  </si>
  <si>
    <t xml:space="preserve">Off-Hand</t>
  </si>
  <si>
    <t xml:space="preserve">Dual-Wield Weapon</t>
  </si>
  <si>
    <t xml:space="preserve">Core Stats</t>
  </si>
  <si>
    <t xml:space="preserve">Stat</t>
  </si>
  <si>
    <t xml:space="preserve">Base</t>
  </si>
  <si>
    <t xml:space="preserve">Allocated Points</t>
  </si>
  <si>
    <t xml:space="preserve">Gear Bonus</t>
  </si>
  <si>
    <t xml:space="preserve">Total</t>
  </si>
  <si>
    <t xml:space="preserve">STR</t>
  </si>
  <si>
    <t xml:space="preserve">INT</t>
  </si>
  <si>
    <t xml:space="preserve">VIT</t>
  </si>
  <si>
    <t xml:space="preserve">DEF</t>
  </si>
  <si>
    <t xml:space="preserve">AGI</t>
  </si>
  <si>
    <t xml:space="preserve">LUK</t>
  </si>
  <si>
    <t xml:space="preserve">Elemental Resistances</t>
  </si>
  <si>
    <t xml:space="preserve">Element</t>
  </si>
  <si>
    <t xml:space="preserve">Fire</t>
  </si>
  <si>
    <t xml:space="preserve">Ice</t>
  </si>
  <si>
    <t xml:space="preserve">Lightning</t>
  </si>
  <si>
    <t xml:space="preserve">Poison</t>
  </si>
  <si>
    <t xml:space="preserve">Loadout &amp; Derived</t>
  </si>
  <si>
    <t xml:space="preserve">Weapon Base Damage (physical)</t>
  </si>
  <si>
    <t xml:space="preserve">Skill Base Damage (elemental)</t>
  </si>
  <si>
    <t xml:space="preserve">Max HP</t>
  </si>
  <si>
    <t xml:space="preserve">Prestige Multiplier</t>
  </si>
  <si>
    <t xml:space="preserve">Weapon Speed &amp; Mastery (derived)</t>
  </si>
  <si>
    <t xml:space="preserve">Base Weapon Cooldown (sec)</t>
  </si>
  <si>
    <t xml:space="preserve">Haste % (from AGI)</t>
  </si>
  <si>
    <t xml:space="preserve">Dual-Wield CDR Bonus</t>
  </si>
  <si>
    <t xml:space="preserve">Total Cooldown Reduction %</t>
  </si>
  <si>
    <t xml:space="preserve">Effective Basic Attack Cooldown (sec)</t>
  </si>
  <si>
    <t xml:space="preserve">Attacks Per Second</t>
  </si>
  <si>
    <t xml:space="preserve">Block Chance % (if Shield equipped)</t>
  </si>
  <si>
    <t xml:space="preserve">Shield DEF Bonus (flat)</t>
  </si>
  <si>
    <t xml:space="preserve">Ranged Bonus Crit Chance % (Bow)</t>
  </si>
  <si>
    <t xml:space="preserve">Ranged Bonus Damage % (Bow)</t>
  </si>
  <si>
    <t xml:space="preserve">Caster Bonus Damage % (Staff)</t>
  </si>
  <si>
    <t xml:space="preserve">Caster Bonus Crit % (Staff)</t>
  </si>
  <si>
    <t xml:space="preserve">Caster Bonus Penetration % (Staff)</t>
  </si>
  <si>
    <t xml:space="preserve">Support Buff Potency % (Tome)</t>
  </si>
  <si>
    <t xml:space="preserve">Boosts the % value of buffs/heals THIS character casts (§10). Not reflected in the damage/TTK calculator below.</t>
  </si>
  <si>
    <t xml:space="preserve">Legend: yellow cells are inputs. Class/Weapon/Off-Hand are free choices — mastery bonuses only apply when they match (see combat-formulas.md §11).</t>
  </si>
  <si>
    <t xml:space="preserve">Skill Element (for Elemental Attack)</t>
  </si>
  <si>
    <t xml:space="preserve">Which element your elemental skill deals — determines which enemy RES applies.</t>
  </si>
  <si>
    <t xml:space="preserve">ENEMY BUILD</t>
  </si>
  <si>
    <t xml:space="preserve">Full stat parity with PlayerBuild — enemies use the exact same abilities, so they need the exact same stat block and mastery system.</t>
  </si>
  <si>
    <t xml:space="preserve">Zone Tier / Loop (N)</t>
  </si>
  <si>
    <t xml:space="preserve">None</t>
  </si>
  <si>
    <t xml:space="preserve">Attack Element (primary, vs player)</t>
  </si>
  <si>
    <t xml:space="preserve">Physical</t>
  </si>
  <si>
    <t xml:space="preserve">Weakness Category (encounter design, vs player's element)</t>
  </si>
  <si>
    <t xml:space="preserve">Difficulty Multiplier</t>
  </si>
  <si>
    <t xml:space="preserve">Enemy's equivalent of the player's Prestige Multiplier.</t>
  </si>
  <si>
    <t xml:space="preserve">Scaled Total</t>
  </si>
  <si>
    <t xml:space="preserve">Crit Chance %</t>
  </si>
  <si>
    <t xml:space="preserve">Crit Multiplier</t>
  </si>
  <si>
    <t xml:space="preserve">Legend: yellow cells are inputs. Same formulas and mastery system as PlayerBuild — Difficulty Multiplier plays the role Prestige Multiplier plays for the player.</t>
  </si>
  <si>
    <t xml:space="preserve">DAMAGE &amp; TTK CALCULATOR</t>
  </si>
  <si>
    <t xml:space="preserve">Physical Attack — Player vs Enemy</t>
  </si>
  <si>
    <t xml:space="preserve">Raw Damage</t>
  </si>
  <si>
    <t xml:space="preserve">Mitigation %</t>
  </si>
  <si>
    <t xml:space="preserve">Mitigated Damage</t>
  </si>
  <si>
    <t xml:space="preserve">Type Multiplier</t>
  </si>
  <si>
    <t xml:space="preserve">Typed Damage</t>
  </si>
  <si>
    <t xml:space="preserve">Average Damage (crit-weighted)</t>
  </si>
  <si>
    <t xml:space="preserve">Ranged Damage Bonus Multiplier</t>
  </si>
  <si>
    <t xml:space="preserve">Final Average Damage / Hit</t>
  </si>
  <si>
    <t xml:space="preserve">DPS (Physical)</t>
  </si>
  <si>
    <t xml:space="preserve">Enemy HP (scaled)</t>
  </si>
  <si>
    <t xml:space="preserve">Time to Kill (sec)</t>
  </si>
  <si>
    <t xml:space="preserve">Hits to Kill (reference)</t>
  </si>
  <si>
    <t xml:space="preserve">Target Check</t>
  </si>
  <si>
    <t xml:space="preserve">Elemental Attack — Player vs Enemy</t>
  </si>
  <si>
    <t xml:space="preserve">Enemy RES (matching Skill Element)</t>
  </si>
  <si>
    <t xml:space="preserve">Elemental Penetration %</t>
  </si>
  <si>
    <t xml:space="preserve">Effective Enemy RES (after Penetration)</t>
  </si>
  <si>
    <t xml:space="preserve">Elemental Crit Chance %</t>
  </si>
  <si>
    <t xml:space="preserve">Elemental Crit Multiplier</t>
  </si>
  <si>
    <t xml:space="preserve">Caster Damage Bonus Multiplier</t>
  </si>
  <si>
    <t xml:space="preserve">DPS (Elemental)</t>
  </si>
  <si>
    <t xml:space="preserve">Enemy Attack — Enemy vs Player</t>
  </si>
  <si>
    <t xml:space="preserve">Enemy Attack Element</t>
  </si>
  <si>
    <t xml:space="preserve">Enemy Raw Damage</t>
  </si>
  <si>
    <t xml:space="preserve">Player Mitigating Stat</t>
  </si>
  <si>
    <t xml:space="preserve">Mitigation Constant Used</t>
  </si>
  <si>
    <t xml:space="preserve">Enemy Crit Chance %</t>
  </si>
  <si>
    <t xml:space="preserve">Enemy Crit Multiplier</t>
  </si>
  <si>
    <t xml:space="preserve">Block Chance %</t>
  </si>
  <si>
    <t xml:space="preserve">Block Damage Reduction</t>
  </si>
  <si>
    <t xml:space="preserve">Effective Multiplier After Block</t>
  </si>
  <si>
    <t xml:space="preserve">Damage Taken per Hit</t>
  </si>
  <si>
    <t xml:space="preserve">Enemy Attacks Per Second</t>
  </si>
  <si>
    <t xml:space="preserve">DPS Taken</t>
  </si>
  <si>
    <t xml:space="preserve">Player Max HP</t>
  </si>
  <si>
    <t xml:space="preserve">Time to Die (sec)</t>
  </si>
  <si>
    <t xml:space="preserve">Hits to Die (reference)</t>
  </si>
  <si>
    <t xml:space="preserve">Note: shows average-case damage (no per-hit variance/block RNG). Support's Buff Potency mastery isn't shown here — it modifies buff/heal strength (§10), not raw damage, so it doesn't appear in this damage-focused calculator.</t>
  </si>
  <si>
    <t xml:space="preserve">EXPERIENCE &amp; LEVELING</t>
  </si>
  <si>
    <t xml:space="preserve">XPRequired(Level,Loop) = XPBase × (1+XPGrowth)^(Level-1) × (1+d)^Loop. Reuses Constants!d and Constants!r so leveling scales with combat difficulty/prestige.</t>
  </si>
  <si>
    <t xml:space="preserve">Sample XP-Per-Level</t>
  </si>
  <si>
    <t xml:space="preserve">Loop N (for this table)</t>
  </si>
  <si>
    <t xml:space="preserve">XP Required (this level)</t>
  </si>
  <si>
    <t xml:space="preserve">Total XP to Level Cap (per Loop)</t>
  </si>
  <si>
    <t xml:space="preserve">Loop N</t>
  </si>
  <si>
    <t xml:space="preserve">Total XP to Cap</t>
  </si>
  <si>
    <t xml:space="preserve">Pacing Calculator (Loop 0)</t>
  </si>
  <si>
    <t xml:space="preserve">Daily Kill Capacity</t>
  </si>
  <si>
    <t xml:space="preserve">Total Kills to Cap (approx)</t>
  </si>
  <si>
    <t xml:space="preserve">Implied Days to Cap (Loop 0)</t>
  </si>
  <si>
    <t xml:space="preserve">Target Days to Rebirth</t>
  </si>
  <si>
    <t xml:space="preserve">Rebirth Pacing Projection</t>
  </si>
  <si>
    <t xml:space="preserve">Difficulty Mult (1+d)^N</t>
  </si>
  <si>
    <t xml:space="preserve">Prestige Mult (1+r)^N</t>
  </si>
  <si>
    <t xml:space="preserve">Relative Slowdown</t>
  </si>
  <si>
    <t xml:space="preserve">Implied Days (this loop)</t>
  </si>
  <si>
    <t xml:space="preserve">Cumulative Days (Loop 0 through selected loop)</t>
  </si>
  <si>
    <t xml:space="preserve">Sum of all 6 sample loops shown above — a rough total-playtime-to-loop-5 estimate.</t>
  </si>
  <si>
    <t xml:space="preserve">Enemy XP Calculator</t>
  </si>
  <si>
    <t xml:space="preserve">Player Level</t>
  </si>
  <si>
    <t xml:space="preserve">Enemy Level</t>
  </si>
  <si>
    <t xml:space="preserve">Level Diff (Enemy - Player)</t>
  </si>
  <si>
    <t xml:space="preserve">XP Multiplier (level-difference)</t>
  </si>
  <si>
    <t xml:space="preserve">Base Enemy XP (on-level)</t>
  </si>
  <si>
    <t xml:space="preserve">Final XP Granted</t>
  </si>
  <si>
    <t xml:space="preserve">Note: 'Total Kills to Cap' assumes on-level kills throughout — real playtime will vary with actual level-difference mix. Use this as a planning estimate, then validate against real playtest data.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</si>
</sst>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General"/>
    <numFmt numFmtId="168" formatCode="0.00%"/>
    <numFmt numFmtId="169" formatCode="#,##0"/>
    <numFmt numFmtId="170" formatCode="#,##0.0"/>
    <numFmt numFmtId="171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8EA9DB"/>
        <bgColor rgb="FF969696"/>
      </patternFill>
    </fill>
    <fill>
      <patternFill patternType="solid">
        <fgColor rgb="FFFFFFCC"/>
        <bgColor rgb="FFFFFFFF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46"/>
  </cols>
  <sheetData>
    <row r="1" customFormat="false" ht="21.75" hidden="false" customHeight="tru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100</v>
      </c>
      <c r="C4" s="5" t="s">
        <v>3</v>
      </c>
    </row>
    <row r="5" customFormat="false" ht="15" hidden="false" customHeight="false" outlineLevel="0" collapsed="false">
      <c r="A5" s="3" t="s">
        <v>4</v>
      </c>
      <c r="B5" s="4" t="n">
        <v>80</v>
      </c>
      <c r="C5" s="5" t="s">
        <v>5</v>
      </c>
    </row>
    <row r="7" customFormat="false" ht="15" hidden="false" customHeight="false" outlineLevel="0" collapsed="false">
      <c r="A7" s="2" t="s">
        <v>6</v>
      </c>
      <c r="B7" s="2"/>
      <c r="C7" s="2"/>
    </row>
    <row r="8" customFormat="false" ht="15" hidden="false" customHeight="false" outlineLevel="0" collapsed="false">
      <c r="A8" s="3" t="s">
        <v>7</v>
      </c>
      <c r="B8" s="4" t="n">
        <v>0.85</v>
      </c>
    </row>
    <row r="9" customFormat="false" ht="15" hidden="false" customHeight="false" outlineLevel="0" collapsed="false">
      <c r="A9" s="3" t="s">
        <v>8</v>
      </c>
      <c r="B9" s="4" t="n">
        <v>1.15</v>
      </c>
    </row>
    <row r="11" customFormat="false" ht="15" hidden="false" customHeight="false" outlineLevel="0" collapsed="false">
      <c r="A11" s="2" t="s">
        <v>9</v>
      </c>
      <c r="B11" s="2"/>
      <c r="C11" s="2"/>
    </row>
    <row r="12" customFormat="false" ht="15" hidden="false" customHeight="false" outlineLevel="0" collapsed="false">
      <c r="A12" s="3" t="s">
        <v>10</v>
      </c>
      <c r="B12" s="6" t="n">
        <v>0.05</v>
      </c>
    </row>
    <row r="13" customFormat="false" ht="15" hidden="false" customHeight="false" outlineLevel="0" collapsed="false">
      <c r="A13" s="3" t="s">
        <v>11</v>
      </c>
      <c r="B13" s="6" t="n">
        <v>0.65</v>
      </c>
    </row>
    <row r="14" customFormat="false" ht="15" hidden="false" customHeight="false" outlineLevel="0" collapsed="false">
      <c r="A14" s="3" t="s">
        <v>12</v>
      </c>
      <c r="B14" s="4" t="n">
        <v>300</v>
      </c>
    </row>
    <row r="15" customFormat="false" ht="15" hidden="false" customHeight="false" outlineLevel="0" collapsed="false">
      <c r="A15" s="3" t="s">
        <v>13</v>
      </c>
      <c r="B15" s="4" t="n">
        <v>1.5</v>
      </c>
    </row>
    <row r="16" customFormat="false" ht="15" hidden="false" customHeight="false" outlineLevel="0" collapsed="false">
      <c r="A16" s="3" t="s">
        <v>14</v>
      </c>
      <c r="B16" s="4" t="n">
        <v>2.5</v>
      </c>
    </row>
    <row r="17" customFormat="false" ht="15" hidden="false" customHeight="false" outlineLevel="0" collapsed="false">
      <c r="A17" s="3" t="s">
        <v>15</v>
      </c>
      <c r="B17" s="4" t="n">
        <v>300</v>
      </c>
    </row>
    <row r="19" customFormat="false" ht="15" hidden="false" customHeight="false" outlineLevel="0" collapsed="false">
      <c r="A19" s="2" t="s">
        <v>16</v>
      </c>
      <c r="B19" s="2"/>
      <c r="C19" s="2"/>
    </row>
    <row r="20" customFormat="false" ht="15" hidden="false" customHeight="false" outlineLevel="0" collapsed="false">
      <c r="A20" s="3" t="s">
        <v>17</v>
      </c>
      <c r="B20" s="4" t="n">
        <v>1.5</v>
      </c>
    </row>
    <row r="21" customFormat="false" ht="15" hidden="false" customHeight="false" outlineLevel="0" collapsed="false">
      <c r="A21" s="3" t="s">
        <v>18</v>
      </c>
      <c r="B21" s="4" t="n">
        <v>1</v>
      </c>
    </row>
    <row r="22" customFormat="false" ht="15" hidden="false" customHeight="false" outlineLevel="0" collapsed="false">
      <c r="A22" s="3" t="s">
        <v>19</v>
      </c>
      <c r="B22" s="4" t="n">
        <v>0.5</v>
      </c>
    </row>
    <row r="23" customFormat="false" ht="15" hidden="false" customHeight="false" outlineLevel="0" collapsed="false">
      <c r="A23" s="3" t="s">
        <v>20</v>
      </c>
      <c r="B23" s="4" t="n">
        <v>0</v>
      </c>
    </row>
    <row r="25" customFormat="false" ht="15" hidden="false" customHeight="false" outlineLevel="0" collapsed="false">
      <c r="A25" s="2" t="s">
        <v>21</v>
      </c>
      <c r="B25" s="2"/>
      <c r="C25" s="2"/>
    </row>
    <row r="26" customFormat="false" ht="15" hidden="false" customHeight="false" outlineLevel="0" collapsed="false">
      <c r="A26" s="3" t="s">
        <v>22</v>
      </c>
      <c r="B26" s="6" t="n">
        <v>0.1</v>
      </c>
    </row>
    <row r="27" customFormat="false" ht="15" hidden="false" customHeight="false" outlineLevel="0" collapsed="false">
      <c r="A27" s="3" t="s">
        <v>23</v>
      </c>
      <c r="B27" s="6" t="n">
        <v>0.15</v>
      </c>
    </row>
    <row r="29" customFormat="false" ht="15" hidden="false" customHeight="false" outlineLevel="0" collapsed="false">
      <c r="A29" s="2" t="s">
        <v>24</v>
      </c>
      <c r="B29" s="2"/>
      <c r="C29" s="2"/>
    </row>
    <row r="30" customFormat="false" ht="15" hidden="false" customHeight="false" outlineLevel="0" collapsed="false">
      <c r="A30" s="3" t="s">
        <v>25</v>
      </c>
      <c r="B30" s="4" t="n">
        <v>100</v>
      </c>
    </row>
    <row r="31" customFormat="false" ht="15" hidden="false" customHeight="false" outlineLevel="0" collapsed="false">
      <c r="A31" s="3" t="s">
        <v>26</v>
      </c>
      <c r="B31" s="4" t="n">
        <v>100</v>
      </c>
    </row>
    <row r="33" customFormat="false" ht="15" hidden="false" customHeight="false" outlineLevel="0" collapsed="false">
      <c r="A33" s="2" t="s">
        <v>27</v>
      </c>
      <c r="B33" s="2"/>
      <c r="C33" s="2"/>
    </row>
    <row r="34" customFormat="false" ht="15" hidden="false" customHeight="false" outlineLevel="0" collapsed="false">
      <c r="A34" s="3" t="s">
        <v>28</v>
      </c>
      <c r="B34" s="4" t="n">
        <v>100</v>
      </c>
    </row>
    <row r="35" customFormat="false" ht="15" hidden="false" customHeight="false" outlineLevel="0" collapsed="false">
      <c r="A35" s="3" t="s">
        <v>29</v>
      </c>
      <c r="B35" s="4" t="n">
        <v>10</v>
      </c>
    </row>
    <row r="37" customFormat="false" ht="15" hidden="false" customHeight="false" outlineLevel="0" collapsed="false">
      <c r="A37" s="2" t="s">
        <v>30</v>
      </c>
      <c r="B37" s="2"/>
      <c r="C37" s="2"/>
    </row>
    <row r="38" customFormat="false" ht="15" hidden="false" customHeight="false" outlineLevel="0" collapsed="false">
      <c r="A38" s="7" t="s">
        <v>31</v>
      </c>
      <c r="B38" s="7" t="s">
        <v>32</v>
      </c>
    </row>
    <row r="39" customFormat="false" ht="15" hidden="false" customHeight="false" outlineLevel="0" collapsed="false">
      <c r="A39" s="3" t="s">
        <v>33</v>
      </c>
      <c r="B39" s="4" t="n">
        <v>0.8</v>
      </c>
    </row>
    <row r="40" customFormat="false" ht="15" hidden="false" customHeight="false" outlineLevel="0" collapsed="false">
      <c r="A40" s="3" t="s">
        <v>34</v>
      </c>
      <c r="B40" s="4" t="n">
        <v>0.9</v>
      </c>
    </row>
    <row r="41" customFormat="false" ht="15" hidden="false" customHeight="false" outlineLevel="0" collapsed="false">
      <c r="A41" s="3" t="s">
        <v>35</v>
      </c>
      <c r="B41" s="4" t="n">
        <v>1</v>
      </c>
    </row>
    <row r="42" customFormat="false" ht="15" hidden="false" customHeight="false" outlineLevel="0" collapsed="false">
      <c r="A42" s="3" t="s">
        <v>36</v>
      </c>
      <c r="B42" s="4" t="n">
        <v>1</v>
      </c>
    </row>
    <row r="43" customFormat="false" ht="15" hidden="false" customHeight="false" outlineLevel="0" collapsed="false">
      <c r="A43" s="3" t="s">
        <v>37</v>
      </c>
      <c r="B43" s="4" t="n">
        <v>1.1</v>
      </c>
    </row>
    <row r="44" customFormat="false" ht="15" hidden="false" customHeight="false" outlineLevel="0" collapsed="false">
      <c r="A44" s="3" t="s">
        <v>38</v>
      </c>
      <c r="B44" s="4" t="n">
        <v>1.1</v>
      </c>
    </row>
    <row r="45" customFormat="false" ht="15" hidden="false" customHeight="false" outlineLevel="0" collapsed="false">
      <c r="A45" s="3" t="s">
        <v>39</v>
      </c>
      <c r="B45" s="4" t="n">
        <v>1.2</v>
      </c>
    </row>
    <row r="46" customFormat="false" ht="15" hidden="false" customHeight="false" outlineLevel="0" collapsed="false">
      <c r="A46" s="3" t="s">
        <v>40</v>
      </c>
      <c r="B46" s="4" t="n">
        <v>1.3</v>
      </c>
    </row>
    <row r="47" customFormat="false" ht="15" hidden="false" customHeight="false" outlineLevel="0" collapsed="false">
      <c r="A47" s="3" t="s">
        <v>41</v>
      </c>
      <c r="B47" s="4" t="n">
        <v>1.8</v>
      </c>
    </row>
    <row r="49" customFormat="false" ht="15" hidden="false" customHeight="false" outlineLevel="0" collapsed="false">
      <c r="A49" s="2" t="s">
        <v>42</v>
      </c>
      <c r="B49" s="2"/>
      <c r="C49" s="2"/>
    </row>
    <row r="50" customFormat="false" ht="15" hidden="false" customHeight="false" outlineLevel="0" collapsed="false">
      <c r="A50" s="3" t="s">
        <v>43</v>
      </c>
      <c r="B50" s="4" t="n">
        <v>200</v>
      </c>
    </row>
    <row r="51" customFormat="false" ht="15" hidden="false" customHeight="false" outlineLevel="0" collapsed="false">
      <c r="A51" s="3" t="s">
        <v>44</v>
      </c>
      <c r="B51" s="6" t="n">
        <v>0.8</v>
      </c>
    </row>
    <row r="53" customFormat="false" ht="15" hidden="false" customHeight="false" outlineLevel="0" collapsed="false">
      <c r="A53" s="2" t="s">
        <v>45</v>
      </c>
      <c r="B53" s="2"/>
      <c r="C53" s="2"/>
    </row>
    <row r="54" customFormat="false" ht="15" hidden="false" customHeight="false" outlineLevel="0" collapsed="false">
      <c r="A54" s="3" t="s">
        <v>46</v>
      </c>
      <c r="B54" s="6" t="n">
        <v>0.2</v>
      </c>
    </row>
    <row r="56" customFormat="false" ht="15" hidden="false" customHeight="false" outlineLevel="0" collapsed="false">
      <c r="A56" s="2" t="s">
        <v>47</v>
      </c>
      <c r="B56" s="2"/>
      <c r="C56" s="2"/>
    </row>
    <row r="57" customFormat="false" ht="15" hidden="false" customHeight="false" outlineLevel="0" collapsed="false">
      <c r="A57" s="3" t="s">
        <v>48</v>
      </c>
      <c r="B57" s="6" t="n">
        <v>0.15</v>
      </c>
    </row>
    <row r="58" customFormat="false" ht="15" hidden="false" customHeight="false" outlineLevel="0" collapsed="false">
      <c r="A58" s="3" t="s">
        <v>49</v>
      </c>
      <c r="B58" s="6" t="n">
        <v>0.2</v>
      </c>
    </row>
    <row r="59" customFormat="false" ht="15" hidden="false" customHeight="false" outlineLevel="0" collapsed="false">
      <c r="A59" s="3" t="s">
        <v>50</v>
      </c>
      <c r="B59" s="4" t="n">
        <v>20</v>
      </c>
    </row>
    <row r="60" customFormat="false" ht="15" hidden="false" customHeight="false" outlineLevel="0" collapsed="false">
      <c r="A60" s="3" t="s">
        <v>51</v>
      </c>
      <c r="B60" s="6" t="n">
        <v>0.1</v>
      </c>
    </row>
    <row r="61" customFormat="false" ht="15" hidden="false" customHeight="false" outlineLevel="0" collapsed="false">
      <c r="A61" s="3" t="s">
        <v>52</v>
      </c>
      <c r="B61" s="6" t="n">
        <v>0.15</v>
      </c>
    </row>
    <row r="62" customFormat="false" ht="15" hidden="false" customHeight="false" outlineLevel="0" collapsed="false">
      <c r="A62" s="3" t="s">
        <v>53</v>
      </c>
      <c r="B62" s="6" t="n">
        <v>0.15</v>
      </c>
    </row>
    <row r="63" customFormat="false" ht="15" hidden="false" customHeight="false" outlineLevel="0" collapsed="false">
      <c r="A63" s="3" t="s">
        <v>54</v>
      </c>
      <c r="B63" s="6" t="n">
        <v>0.1</v>
      </c>
    </row>
    <row r="64" customFormat="false" ht="15" hidden="false" customHeight="false" outlineLevel="0" collapsed="false">
      <c r="A64" s="3" t="s">
        <v>55</v>
      </c>
      <c r="B64" s="6" t="n">
        <v>0.2</v>
      </c>
    </row>
    <row r="65" customFormat="false" ht="15" hidden="false" customHeight="false" outlineLevel="0" collapsed="false">
      <c r="A65" s="3" t="s">
        <v>56</v>
      </c>
      <c r="B65" s="6" t="n">
        <v>0.25</v>
      </c>
    </row>
    <row r="67" customFormat="false" ht="15" hidden="false" customHeight="false" outlineLevel="0" collapsed="false">
      <c r="A67" s="2" t="s">
        <v>57</v>
      </c>
      <c r="B67" s="2"/>
      <c r="C67" s="2"/>
    </row>
    <row r="68" customFormat="false" ht="15" hidden="false" customHeight="false" outlineLevel="0" collapsed="false">
      <c r="A68" s="3" t="s">
        <v>58</v>
      </c>
      <c r="B68" s="6" t="n">
        <v>0.1</v>
      </c>
    </row>
    <row r="69" customFormat="false" ht="15" hidden="false" customHeight="false" outlineLevel="0" collapsed="false">
      <c r="A69" s="3" t="s">
        <v>59</v>
      </c>
      <c r="B69" s="4" t="n">
        <v>10</v>
      </c>
    </row>
    <row r="70" customFormat="false" ht="15" hidden="false" customHeight="false" outlineLevel="0" collapsed="false">
      <c r="A70" s="3" t="s">
        <v>60</v>
      </c>
      <c r="B70" s="6" t="n">
        <v>0.5</v>
      </c>
    </row>
    <row r="72" customFormat="false" ht="15" hidden="false" customHeight="false" outlineLevel="0" collapsed="false">
      <c r="A72" s="2" t="s">
        <v>61</v>
      </c>
      <c r="B72" s="2"/>
      <c r="C72" s="2"/>
    </row>
    <row r="73" customFormat="false" ht="15" hidden="false" customHeight="false" outlineLevel="0" collapsed="false">
      <c r="A73" s="3" t="s">
        <v>62</v>
      </c>
      <c r="B73" s="4" t="n">
        <v>50</v>
      </c>
      <c r="C73" s="5" t="s">
        <v>63</v>
      </c>
    </row>
    <row r="74" customFormat="false" ht="15" hidden="false" customHeight="false" outlineLevel="0" collapsed="false">
      <c r="A74" s="3" t="s">
        <v>64</v>
      </c>
      <c r="B74" s="8" t="n">
        <v>0.06</v>
      </c>
      <c r="C74" s="5" t="s">
        <v>65</v>
      </c>
    </row>
    <row r="75" customFormat="false" ht="15" hidden="false" customHeight="false" outlineLevel="0" collapsed="false">
      <c r="A75" s="3" t="s">
        <v>66</v>
      </c>
      <c r="B75" s="4" t="n">
        <v>200</v>
      </c>
    </row>
    <row r="76" customFormat="false" ht="15" hidden="false" customHeight="false" outlineLevel="0" collapsed="false">
      <c r="A76" s="3" t="s">
        <v>67</v>
      </c>
      <c r="B76" s="4" t="n">
        <v>180</v>
      </c>
      <c r="C76" s="5" t="s">
        <v>68</v>
      </c>
    </row>
    <row r="77" customFormat="false" ht="15" hidden="false" customHeight="false" outlineLevel="0" collapsed="false">
      <c r="A77" s="3" t="s">
        <v>69</v>
      </c>
      <c r="B77" s="4" t="n">
        <v>10</v>
      </c>
    </row>
    <row r="78" customFormat="false" ht="15" hidden="false" customHeight="false" outlineLevel="0" collapsed="false">
      <c r="A78" s="3" t="s">
        <v>70</v>
      </c>
      <c r="B78" s="4" t="n">
        <v>5</v>
      </c>
    </row>
    <row r="79" customFormat="false" ht="15" hidden="false" customHeight="false" outlineLevel="0" collapsed="false">
      <c r="A79" s="3" t="s">
        <v>71</v>
      </c>
      <c r="B79" s="6" t="n">
        <v>0.05</v>
      </c>
    </row>
    <row r="80" customFormat="false" ht="15" hidden="false" customHeight="false" outlineLevel="0" collapsed="false">
      <c r="A80" s="3" t="s">
        <v>72</v>
      </c>
      <c r="B80" s="6" t="n">
        <v>0.5</v>
      </c>
    </row>
    <row r="82" customFormat="false" ht="15" hidden="false" customHeight="false" outlineLevel="0" collapsed="false">
      <c r="A82" s="2" t="s">
        <v>73</v>
      </c>
      <c r="B82" s="2"/>
      <c r="C82" s="2"/>
    </row>
    <row r="83" customFormat="false" ht="15" hidden="false" customHeight="false" outlineLevel="0" collapsed="false">
      <c r="A83" s="3" t="s">
        <v>74</v>
      </c>
      <c r="B83" s="4" t="n">
        <v>2</v>
      </c>
    </row>
    <row r="84" customFormat="false" ht="15" hidden="false" customHeight="false" outlineLevel="0" collapsed="false">
      <c r="A84" s="3" t="s">
        <v>75</v>
      </c>
      <c r="B84" s="4" t="n">
        <v>8</v>
      </c>
    </row>
    <row r="85" customFormat="false" ht="15" hidden="false" customHeight="false" outlineLevel="0" collapsed="false">
      <c r="A85" s="3" t="s">
        <v>76</v>
      </c>
      <c r="B85" s="4" t="n">
        <v>200</v>
      </c>
    </row>
    <row r="86" customFormat="false" ht="15" hidden="false" customHeight="false" outlineLevel="0" collapsed="false">
      <c r="A86" s="3" t="s">
        <v>77</v>
      </c>
      <c r="B86" s="4" t="n">
        <v>100</v>
      </c>
    </row>
    <row r="87" customFormat="false" ht="15" hidden="false" customHeight="false" outlineLevel="0" collapsed="false">
      <c r="A87" s="3" t="s">
        <v>78</v>
      </c>
      <c r="B87" s="4" t="n">
        <v>30</v>
      </c>
    </row>
  </sheetData>
  <mergeCells count="15">
    <mergeCell ref="A1:C1"/>
    <mergeCell ref="A3:C3"/>
    <mergeCell ref="A7:C7"/>
    <mergeCell ref="A11:C11"/>
    <mergeCell ref="A19:C19"/>
    <mergeCell ref="A25:C25"/>
    <mergeCell ref="A29:C29"/>
    <mergeCell ref="A33:C33"/>
    <mergeCell ref="A37:C37"/>
    <mergeCell ref="A49:C49"/>
    <mergeCell ref="A53:C53"/>
    <mergeCell ref="A56:C56"/>
    <mergeCell ref="A67:C67"/>
    <mergeCell ref="A72:C72"/>
    <mergeCell ref="A82:C8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2"/>
  </cols>
  <sheetData>
    <row r="1" customFormat="false" ht="21.75" hidden="false" customHeight="true" outlineLevel="0" collapsed="false">
      <c r="A1" s="1" t="s">
        <v>79</v>
      </c>
      <c r="B1" s="1"/>
      <c r="C1" s="1"/>
      <c r="D1" s="1"/>
      <c r="E1" s="1"/>
    </row>
    <row r="3" customFormat="false" ht="15" hidden="false" customHeight="false" outlineLevel="0" collapsed="false">
      <c r="A3" s="3" t="s">
        <v>80</v>
      </c>
      <c r="B3" s="4" t="n">
        <v>1</v>
      </c>
    </row>
    <row r="4" customFormat="false" ht="15" hidden="false" customHeight="false" outlineLevel="0" collapsed="false">
      <c r="A4" s="3" t="s">
        <v>81</v>
      </c>
      <c r="B4" s="4" t="n">
        <v>0</v>
      </c>
    </row>
    <row r="5" customFormat="false" ht="15" hidden="false" customHeight="false" outlineLevel="0" collapsed="false">
      <c r="A5" s="3" t="s">
        <v>82</v>
      </c>
      <c r="B5" s="4" t="s">
        <v>83</v>
      </c>
    </row>
    <row r="6" customFormat="false" ht="15" hidden="false" customHeight="false" outlineLevel="0" collapsed="false">
      <c r="A6" s="3" t="s">
        <v>84</v>
      </c>
      <c r="B6" s="4" t="s">
        <v>35</v>
      </c>
    </row>
    <row r="7" customFormat="false" ht="15" hidden="false" customHeight="false" outlineLevel="0" collapsed="false">
      <c r="A7" s="3" t="s">
        <v>85</v>
      </c>
      <c r="B7" s="4" t="s">
        <v>86</v>
      </c>
    </row>
    <row r="9" customFormat="false" ht="15" hidden="false" customHeight="false" outlineLevel="0" collapsed="false">
      <c r="A9" s="2" t="s">
        <v>87</v>
      </c>
      <c r="B9" s="2"/>
      <c r="C9" s="2"/>
      <c r="D9" s="2"/>
      <c r="E9" s="2"/>
    </row>
    <row r="10" customFormat="false" ht="15" hidden="false" customHeight="false" outlineLevel="0" collapsed="false">
      <c r="A10" s="7" t="s">
        <v>88</v>
      </c>
      <c r="B10" s="7" t="s">
        <v>89</v>
      </c>
      <c r="C10" s="7" t="s">
        <v>90</v>
      </c>
      <c r="D10" s="7" t="s">
        <v>91</v>
      </c>
      <c r="E10" s="7" t="s">
        <v>92</v>
      </c>
    </row>
    <row r="11" customFormat="false" ht="15" hidden="false" customHeight="false" outlineLevel="0" collapsed="false">
      <c r="A11" s="3" t="s">
        <v>93</v>
      </c>
      <c r="B11" s="4" t="n">
        <v>5</v>
      </c>
      <c r="C11" s="4" t="n">
        <v>0</v>
      </c>
      <c r="D11" s="4" t="n">
        <v>0</v>
      </c>
      <c r="E11" s="9" t="n">
        <f aca="false">SUM(B11:D11)</f>
        <v>5</v>
      </c>
    </row>
    <row r="12" customFormat="false" ht="15" hidden="false" customHeight="false" outlineLevel="0" collapsed="false">
      <c r="A12" s="3" t="s">
        <v>94</v>
      </c>
      <c r="B12" s="4" t="n">
        <v>5</v>
      </c>
      <c r="C12" s="4" t="n">
        <v>0</v>
      </c>
      <c r="D12" s="4" t="n">
        <v>0</v>
      </c>
      <c r="E12" s="9" t="n">
        <f aca="false">SUM(B12:D12)</f>
        <v>5</v>
      </c>
    </row>
    <row r="13" customFormat="false" ht="15" hidden="false" customHeight="false" outlineLevel="0" collapsed="false">
      <c r="A13" s="3" t="s">
        <v>95</v>
      </c>
      <c r="B13" s="4" t="n">
        <v>10</v>
      </c>
      <c r="C13" s="4" t="n">
        <v>0</v>
      </c>
      <c r="D13" s="4" t="n">
        <v>0</v>
      </c>
      <c r="E13" s="9" t="n">
        <f aca="false">SUM(B13:D13)</f>
        <v>10</v>
      </c>
    </row>
    <row r="14" customFormat="false" ht="15" hidden="false" customHeight="false" outlineLevel="0" collapsed="false">
      <c r="A14" s="3" t="s">
        <v>96</v>
      </c>
      <c r="B14" s="4" t="n">
        <v>5</v>
      </c>
      <c r="C14" s="4" t="n">
        <v>0</v>
      </c>
      <c r="D14" s="4" t="n">
        <v>0</v>
      </c>
      <c r="E14" s="9" t="n">
        <f aca="false">SUM(B14:D14)</f>
        <v>5</v>
      </c>
    </row>
    <row r="15" customFormat="false" ht="15" hidden="false" customHeight="false" outlineLevel="0" collapsed="false">
      <c r="A15" s="3" t="s">
        <v>97</v>
      </c>
      <c r="B15" s="4" t="n">
        <v>5</v>
      </c>
      <c r="C15" s="4" t="n">
        <v>0</v>
      </c>
      <c r="D15" s="4" t="n">
        <v>0</v>
      </c>
      <c r="E15" s="9" t="n">
        <f aca="false">SUM(B15:D15)</f>
        <v>5</v>
      </c>
    </row>
    <row r="16" customFormat="false" ht="15" hidden="false" customHeight="false" outlineLevel="0" collapsed="false">
      <c r="A16" s="3" t="s">
        <v>98</v>
      </c>
      <c r="B16" s="4" t="n">
        <v>5</v>
      </c>
      <c r="C16" s="4" t="n">
        <v>0</v>
      </c>
      <c r="D16" s="4" t="n">
        <v>0</v>
      </c>
      <c r="E16" s="9" t="n">
        <f aca="false">SUM(B16:D16)</f>
        <v>5</v>
      </c>
    </row>
    <row r="18" customFormat="false" ht="15" hidden="false" customHeight="false" outlineLevel="0" collapsed="false">
      <c r="A18" s="2" t="s">
        <v>99</v>
      </c>
      <c r="B18" s="2"/>
      <c r="C18" s="2"/>
      <c r="D18" s="2"/>
      <c r="E18" s="2"/>
    </row>
    <row r="19" customFormat="false" ht="15" hidden="false" customHeight="false" outlineLevel="0" collapsed="false">
      <c r="A19" s="7" t="s">
        <v>100</v>
      </c>
      <c r="B19" s="7" t="s">
        <v>89</v>
      </c>
      <c r="C19" s="7" t="s">
        <v>90</v>
      </c>
      <c r="D19" s="7" t="s">
        <v>91</v>
      </c>
      <c r="E19" s="7" t="s">
        <v>92</v>
      </c>
    </row>
    <row r="20" customFormat="false" ht="15" hidden="false" customHeight="false" outlineLevel="0" collapsed="false">
      <c r="A20" s="3" t="s">
        <v>101</v>
      </c>
      <c r="B20" s="4" t="n">
        <v>0</v>
      </c>
      <c r="C20" s="4" t="n">
        <v>0</v>
      </c>
      <c r="D20" s="4" t="n">
        <v>0</v>
      </c>
      <c r="E20" s="9" t="n">
        <f aca="false">SUM(B20:D20)</f>
        <v>0</v>
      </c>
    </row>
    <row r="21" customFormat="false" ht="15" hidden="false" customHeight="false" outlineLevel="0" collapsed="false">
      <c r="A21" s="3" t="s">
        <v>102</v>
      </c>
      <c r="B21" s="4" t="n">
        <v>0</v>
      </c>
      <c r="C21" s="4" t="n">
        <v>0</v>
      </c>
      <c r="D21" s="4" t="n">
        <v>0</v>
      </c>
      <c r="E21" s="9" t="n">
        <f aca="false">SUM(B21:D21)</f>
        <v>0</v>
      </c>
    </row>
    <row r="22" customFormat="false" ht="15" hidden="false" customHeight="false" outlineLevel="0" collapsed="false">
      <c r="A22" s="3" t="s">
        <v>103</v>
      </c>
      <c r="B22" s="4" t="n">
        <v>0</v>
      </c>
      <c r="C22" s="4" t="n">
        <v>0</v>
      </c>
      <c r="D22" s="4" t="n">
        <v>0</v>
      </c>
      <c r="E22" s="9" t="n">
        <f aca="false">SUM(B22:D22)</f>
        <v>0</v>
      </c>
    </row>
    <row r="23" customFormat="false" ht="15" hidden="false" customHeight="false" outlineLevel="0" collapsed="false">
      <c r="A23" s="3" t="s">
        <v>104</v>
      </c>
      <c r="B23" s="4" t="n">
        <v>0</v>
      </c>
      <c r="C23" s="4" t="n">
        <v>0</v>
      </c>
      <c r="D23" s="4" t="n">
        <v>0</v>
      </c>
      <c r="E23" s="9" t="n">
        <f aca="false">SUM(B23:D23)</f>
        <v>0</v>
      </c>
    </row>
    <row r="25" customFormat="false" ht="15" hidden="false" customHeight="false" outlineLevel="0" collapsed="false">
      <c r="A25" s="2" t="s">
        <v>105</v>
      </c>
      <c r="B25" s="2"/>
      <c r="C25" s="2"/>
      <c r="D25" s="2"/>
      <c r="E25" s="2"/>
    </row>
    <row r="26" customFormat="false" ht="15" hidden="false" customHeight="false" outlineLevel="0" collapsed="false">
      <c r="A26" s="3" t="s">
        <v>106</v>
      </c>
      <c r="B26" s="4" t="n">
        <v>20</v>
      </c>
    </row>
    <row r="27" customFormat="false" ht="15" hidden="false" customHeight="false" outlineLevel="0" collapsed="false">
      <c r="A27" s="3" t="s">
        <v>107</v>
      </c>
      <c r="B27" s="4" t="n">
        <v>20</v>
      </c>
    </row>
    <row r="28" customFormat="false" ht="15" hidden="false" customHeight="false" outlineLevel="0" collapsed="false">
      <c r="A28" s="3" t="s">
        <v>108</v>
      </c>
      <c r="B28" s="9" t="n">
        <f aca="false">Constants!B34+E13*Constants!B35</f>
        <v>200</v>
      </c>
    </row>
    <row r="29" customFormat="false" ht="15" hidden="false" customHeight="false" outlineLevel="0" collapsed="false">
      <c r="A29" s="3" t="s">
        <v>109</v>
      </c>
      <c r="B29" s="9" t="n">
        <f aca="false">(1+Constants!B26)^B4</f>
        <v>1</v>
      </c>
    </row>
    <row r="31" customFormat="false" ht="15" hidden="false" customHeight="false" outlineLevel="0" collapsed="false">
      <c r="A31" s="2" t="s">
        <v>110</v>
      </c>
      <c r="B31" s="2"/>
      <c r="C31" s="2"/>
      <c r="D31" s="2"/>
      <c r="E31" s="2"/>
    </row>
    <row r="32" customFormat="false" ht="15" hidden="false" customHeight="false" outlineLevel="0" collapsed="false">
      <c r="A32" s="3" t="s">
        <v>111</v>
      </c>
      <c r="B32" s="9" t="n">
        <f aca="false">INDEX(Constants!B39:B47,MATCH(B6,Constants!A39:A47,0))</f>
        <v>1</v>
      </c>
    </row>
    <row r="33" customFormat="false" ht="15" hidden="false" customHeight="false" outlineLevel="0" collapsed="false">
      <c r="A33" s="3" t="s">
        <v>112</v>
      </c>
      <c r="B33" s="10" t="n">
        <f aca="false">E15/(E15+Constants!B50)</f>
        <v>0.024390243902439</v>
      </c>
    </row>
    <row r="34" customFormat="false" ht="15" hidden="false" customHeight="false" outlineLevel="0" collapsed="false">
      <c r="A34" s="3" t="s">
        <v>113</v>
      </c>
      <c r="B34" s="10" t="n">
        <f aca="false">IF(B7="Dual-Wield Weapon",Constants!B54+IF(B5="Melee DPS",Constants!B57,0),0)</f>
        <v>0.35</v>
      </c>
    </row>
    <row r="35" customFormat="false" ht="15" hidden="false" customHeight="false" outlineLevel="0" collapsed="false">
      <c r="A35" s="3" t="s">
        <v>114</v>
      </c>
      <c r="B35" s="10" t="n">
        <f aca="false">MIN(B33+B34,Constants!B51)</f>
        <v>0.374390243902439</v>
      </c>
    </row>
    <row r="36" customFormat="false" ht="15" hidden="false" customHeight="false" outlineLevel="0" collapsed="false">
      <c r="A36" s="3" t="s">
        <v>115</v>
      </c>
      <c r="B36" s="9" t="n">
        <f aca="false">B32*(1-B35)</f>
        <v>0.625609756097561</v>
      </c>
    </row>
    <row r="37" customFormat="false" ht="15" hidden="false" customHeight="false" outlineLevel="0" collapsed="false">
      <c r="A37" s="3" t="s">
        <v>116</v>
      </c>
      <c r="B37" s="9" t="n">
        <f aca="false">1/B36</f>
        <v>1.59844054580897</v>
      </c>
    </row>
    <row r="39" customFormat="false" ht="15" hidden="false" customHeight="false" outlineLevel="0" collapsed="false">
      <c r="A39" s="3" t="s">
        <v>117</v>
      </c>
      <c r="B39" s="10" t="n">
        <f aca="false">IF(B7="Shield",Constants!B68+IF(B5="Tank",Constants!B58,0),0)</f>
        <v>0</v>
      </c>
    </row>
    <row r="40" customFormat="false" ht="15" hidden="false" customHeight="false" outlineLevel="0" collapsed="false">
      <c r="A40" s="3" t="s">
        <v>118</v>
      </c>
      <c r="B40" s="9" t="n">
        <f aca="false">IF(B7="Shield",Constants!B69+IF(B5="Tank",Constants!B59,0),0)</f>
        <v>0</v>
      </c>
    </row>
    <row r="41" customFormat="false" ht="15" hidden="false" customHeight="false" outlineLevel="0" collapsed="false">
      <c r="A41" s="3" t="s">
        <v>119</v>
      </c>
      <c r="B41" s="10" t="n">
        <f aca="false">IF(AND(B5="Ranged DPS",B6="Bow"),Constants!B60,0)</f>
        <v>0</v>
      </c>
    </row>
    <row r="42" customFormat="false" ht="15" hidden="false" customHeight="false" outlineLevel="0" collapsed="false">
      <c r="A42" s="3" t="s">
        <v>120</v>
      </c>
      <c r="B42" s="10" t="n">
        <f aca="false">IF(AND(B5="Ranged DPS",B6="Bow"),Constants!B61,0)</f>
        <v>0</v>
      </c>
    </row>
    <row r="43" customFormat="false" ht="15" hidden="false" customHeight="false" outlineLevel="0" collapsed="false">
      <c r="A43" s="3" t="s">
        <v>121</v>
      </c>
      <c r="B43" s="10" t="n">
        <f aca="false">IF(AND(B5="Caster DPS",B6="Staff"),Constants!B62,0)</f>
        <v>0</v>
      </c>
    </row>
    <row r="44" customFormat="false" ht="15" hidden="false" customHeight="false" outlineLevel="0" collapsed="false">
      <c r="A44" s="3" t="s">
        <v>122</v>
      </c>
      <c r="B44" s="10" t="n">
        <f aca="false">IF(AND(B5="Caster DPS",B6="Staff"),Constants!B63,0)</f>
        <v>0</v>
      </c>
    </row>
    <row r="45" customFormat="false" ht="15" hidden="false" customHeight="false" outlineLevel="0" collapsed="false">
      <c r="A45" s="3" t="s">
        <v>123</v>
      </c>
      <c r="B45" s="10" t="n">
        <f aca="false">IF(AND(B5="Caster DPS",B6="Staff"),Constants!B64,0)</f>
        <v>0</v>
      </c>
    </row>
    <row r="46" customFormat="false" ht="15" hidden="false" customHeight="false" outlineLevel="0" collapsed="false">
      <c r="A46" s="3" t="s">
        <v>124</v>
      </c>
      <c r="B46" s="10" t="n">
        <f aca="false">IF(AND(B5="Support",B6="Tome"),Constants!B65,0)</f>
        <v>0</v>
      </c>
      <c r="C46" s="5" t="s">
        <v>125</v>
      </c>
    </row>
    <row r="48" customFormat="false" ht="15" hidden="false" customHeight="false" outlineLevel="0" collapsed="false">
      <c r="A48" s="11" t="s">
        <v>126</v>
      </c>
      <c r="B48" s="11"/>
      <c r="C48" s="11"/>
      <c r="D48" s="11"/>
      <c r="E48" s="11"/>
    </row>
    <row r="50" customFormat="false" ht="15" hidden="false" customHeight="false" outlineLevel="0" collapsed="false">
      <c r="A50" s="3" t="s">
        <v>127</v>
      </c>
      <c r="B50" s="4" t="s">
        <v>101</v>
      </c>
      <c r="C50" s="5" t="s">
        <v>128</v>
      </c>
    </row>
  </sheetData>
  <mergeCells count="6">
    <mergeCell ref="A1:E1"/>
    <mergeCell ref="A9:E9"/>
    <mergeCell ref="A18:E18"/>
    <mergeCell ref="A25:E25"/>
    <mergeCell ref="A31:E31"/>
    <mergeCell ref="A48:E48"/>
  </mergeCells>
  <dataValidations count="4">
    <dataValidation allowBlank="false" errorStyle="stop" operator="between" showDropDown="false" showErrorMessage="false" showInputMessage="false" sqref="B5" type="list">
      <formula1>"Melee DPS,Tank,Ranged DPS,Caster DPS,Support"</formula1>
      <formula2>0</formula2>
    </dataValidation>
    <dataValidation allowBlank="false" errorStyle="stop" operator="between" showDropDown="false" showErrorMessage="false" showInputMessage="false" sqref="B6" type="list">
      <formula1>"Dagger,Wand,Sword,Bow,Axe,Mace,Staff,Tome,Greatsword"</formula1>
      <formula2>0</formula2>
    </dataValidation>
    <dataValidation allowBlank="false" errorStyle="stop" operator="between" showDropDown="false" showErrorMessage="false" showInputMessage="false" sqref="B7" type="list">
      <formula1>"Dual-Wield Weapon,Shield,None"</formula1>
      <formula2>0</formula2>
    </dataValidation>
    <dataValidation allowBlank="false" errorStyle="stop" operator="between" showDropDown="false" showErrorMessage="false" showInputMessage="false" sqref="B50" type="list">
      <formula1>"Fire,Ice,Lightning,Poison"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6"/>
  </cols>
  <sheetData>
    <row r="1" customFormat="false" ht="21.75" hidden="false" customHeight="true" outlineLevel="0" collapsed="false">
      <c r="A1" s="1" t="s">
        <v>129</v>
      </c>
      <c r="B1" s="1"/>
      <c r="C1" s="1"/>
    </row>
    <row r="2" customFormat="false" ht="15" hidden="false" customHeight="false" outlineLevel="0" collapsed="false">
      <c r="A2" s="11" t="s">
        <v>130</v>
      </c>
      <c r="B2" s="11"/>
      <c r="C2" s="11"/>
    </row>
    <row r="4" customFormat="false" ht="15" hidden="false" customHeight="false" outlineLevel="0" collapsed="false">
      <c r="A4" s="3" t="s">
        <v>131</v>
      </c>
      <c r="B4" s="4" t="n">
        <v>0</v>
      </c>
    </row>
    <row r="5" customFormat="false" ht="15" hidden="false" customHeight="false" outlineLevel="0" collapsed="false">
      <c r="A5" s="3" t="s">
        <v>82</v>
      </c>
      <c r="B5" s="4" t="s">
        <v>83</v>
      </c>
    </row>
    <row r="6" customFormat="false" ht="15" hidden="false" customHeight="false" outlineLevel="0" collapsed="false">
      <c r="A6" s="3" t="s">
        <v>84</v>
      </c>
      <c r="B6" s="4" t="s">
        <v>35</v>
      </c>
    </row>
    <row r="7" customFormat="false" ht="15" hidden="false" customHeight="false" outlineLevel="0" collapsed="false">
      <c r="A7" s="3" t="s">
        <v>85</v>
      </c>
      <c r="B7" s="4" t="s">
        <v>132</v>
      </c>
    </row>
    <row r="8" customFormat="false" ht="15" hidden="false" customHeight="false" outlineLevel="0" collapsed="false">
      <c r="A8" s="3" t="s">
        <v>133</v>
      </c>
      <c r="B8" s="4" t="s">
        <v>134</v>
      </c>
    </row>
    <row r="9" customFormat="false" ht="15" hidden="false" customHeight="false" outlineLevel="0" collapsed="false">
      <c r="A9" s="3" t="s">
        <v>135</v>
      </c>
      <c r="B9" s="4" t="s">
        <v>18</v>
      </c>
    </row>
    <row r="11" customFormat="false" ht="15" hidden="false" customHeight="false" outlineLevel="0" collapsed="false">
      <c r="A11" s="3" t="s">
        <v>136</v>
      </c>
      <c r="B11" s="9" t="n">
        <f aca="false">(1+Constants!B27)^B4</f>
        <v>1</v>
      </c>
      <c r="C11" s="5" t="s">
        <v>137</v>
      </c>
    </row>
    <row r="13" customFormat="false" ht="15" hidden="false" customHeight="false" outlineLevel="0" collapsed="false">
      <c r="A13" s="2" t="s">
        <v>87</v>
      </c>
      <c r="B13" s="2"/>
      <c r="C13" s="2"/>
    </row>
    <row r="14" customFormat="false" ht="15" hidden="false" customHeight="false" outlineLevel="0" collapsed="false">
      <c r="A14" s="7" t="s">
        <v>88</v>
      </c>
      <c r="B14" s="7" t="s">
        <v>89</v>
      </c>
      <c r="C14" s="7" t="s">
        <v>138</v>
      </c>
    </row>
    <row r="15" customFormat="false" ht="15" hidden="false" customHeight="false" outlineLevel="0" collapsed="false">
      <c r="A15" s="3" t="s">
        <v>93</v>
      </c>
      <c r="B15" s="4" t="n">
        <v>15</v>
      </c>
      <c r="C15" s="9" t="n">
        <f aca="false">B15*$B$11</f>
        <v>15</v>
      </c>
    </row>
    <row r="16" customFormat="false" ht="15" hidden="false" customHeight="false" outlineLevel="0" collapsed="false">
      <c r="A16" s="3" t="s">
        <v>94</v>
      </c>
      <c r="B16" s="4" t="n">
        <v>5</v>
      </c>
      <c r="C16" s="9" t="n">
        <f aca="false">B16*$B$11</f>
        <v>5</v>
      </c>
    </row>
    <row r="17" customFormat="false" ht="15" hidden="false" customHeight="false" outlineLevel="0" collapsed="false">
      <c r="A17" s="3" t="s">
        <v>95</v>
      </c>
      <c r="B17" s="4" t="n">
        <v>10</v>
      </c>
      <c r="C17" s="9" t="n">
        <f aca="false">B17*$B$11</f>
        <v>10</v>
      </c>
    </row>
    <row r="18" customFormat="false" ht="15" hidden="false" customHeight="false" outlineLevel="0" collapsed="false">
      <c r="A18" s="3" t="s">
        <v>96</v>
      </c>
      <c r="B18" s="4" t="n">
        <v>15</v>
      </c>
      <c r="C18" s="9" t="n">
        <f aca="false">B18*$B$11</f>
        <v>15</v>
      </c>
    </row>
    <row r="19" customFormat="false" ht="15" hidden="false" customHeight="false" outlineLevel="0" collapsed="false">
      <c r="A19" s="3" t="s">
        <v>97</v>
      </c>
      <c r="B19" s="4" t="n">
        <v>5</v>
      </c>
      <c r="C19" s="9" t="n">
        <f aca="false">B19*$B$11</f>
        <v>5</v>
      </c>
    </row>
    <row r="20" customFormat="false" ht="15" hidden="false" customHeight="false" outlineLevel="0" collapsed="false">
      <c r="A20" s="3" t="s">
        <v>98</v>
      </c>
      <c r="B20" s="4" t="n">
        <v>5</v>
      </c>
      <c r="C20" s="9" t="n">
        <f aca="false">B20*$B$11</f>
        <v>5</v>
      </c>
    </row>
    <row r="22" customFormat="false" ht="15" hidden="false" customHeight="false" outlineLevel="0" collapsed="false">
      <c r="A22" s="2" t="s">
        <v>99</v>
      </c>
      <c r="B22" s="2"/>
      <c r="C22" s="2"/>
    </row>
    <row r="23" customFormat="false" ht="15" hidden="false" customHeight="false" outlineLevel="0" collapsed="false">
      <c r="A23" s="7" t="s">
        <v>100</v>
      </c>
      <c r="B23" s="7" t="s">
        <v>89</v>
      </c>
      <c r="C23" s="7" t="s">
        <v>138</v>
      </c>
    </row>
    <row r="24" customFormat="false" ht="15" hidden="false" customHeight="false" outlineLevel="0" collapsed="false">
      <c r="A24" s="3" t="s">
        <v>101</v>
      </c>
      <c r="B24" s="4" t="n">
        <v>0</v>
      </c>
      <c r="C24" s="9" t="n">
        <f aca="false">B24*$B$11</f>
        <v>0</v>
      </c>
    </row>
    <row r="25" customFormat="false" ht="15" hidden="false" customHeight="false" outlineLevel="0" collapsed="false">
      <c r="A25" s="3" t="s">
        <v>102</v>
      </c>
      <c r="B25" s="4" t="n">
        <v>0</v>
      </c>
      <c r="C25" s="9" t="n">
        <f aca="false">B25*$B$11</f>
        <v>0</v>
      </c>
    </row>
    <row r="26" customFormat="false" ht="15" hidden="false" customHeight="false" outlineLevel="0" collapsed="false">
      <c r="A26" s="3" t="s">
        <v>103</v>
      </c>
      <c r="B26" s="4" t="n">
        <v>0</v>
      </c>
      <c r="C26" s="9" t="n">
        <f aca="false">B26*$B$11</f>
        <v>0</v>
      </c>
    </row>
    <row r="27" customFormat="false" ht="15" hidden="false" customHeight="false" outlineLevel="0" collapsed="false">
      <c r="A27" s="3" t="s">
        <v>104</v>
      </c>
      <c r="B27" s="4" t="n">
        <v>0</v>
      </c>
      <c r="C27" s="9" t="n">
        <f aca="false">B27*$B$11</f>
        <v>0</v>
      </c>
    </row>
    <row r="29" customFormat="false" ht="15" hidden="false" customHeight="false" outlineLevel="0" collapsed="false">
      <c r="A29" s="2" t="s">
        <v>105</v>
      </c>
      <c r="B29" s="2"/>
      <c r="C29" s="2"/>
    </row>
    <row r="30" customFormat="false" ht="15" hidden="false" customHeight="false" outlineLevel="0" collapsed="false">
      <c r="A30" s="3" t="s">
        <v>106</v>
      </c>
      <c r="B30" s="4" t="n">
        <v>15</v>
      </c>
    </row>
    <row r="31" customFormat="false" ht="15" hidden="false" customHeight="false" outlineLevel="0" collapsed="false">
      <c r="A31" s="3" t="s">
        <v>107</v>
      </c>
      <c r="B31" s="4" t="n">
        <v>15</v>
      </c>
    </row>
    <row r="32" customFormat="false" ht="15" hidden="false" customHeight="false" outlineLevel="0" collapsed="false">
      <c r="A32" s="3" t="s">
        <v>108</v>
      </c>
      <c r="B32" s="9" t="n">
        <f aca="false">Constants!B34+C17*Constants!B35</f>
        <v>200</v>
      </c>
    </row>
    <row r="34" customFormat="false" ht="15" hidden="false" customHeight="false" outlineLevel="0" collapsed="false">
      <c r="A34" s="2" t="s">
        <v>110</v>
      </c>
      <c r="B34" s="2"/>
      <c r="C34" s="2"/>
    </row>
    <row r="35" customFormat="false" ht="15" hidden="false" customHeight="false" outlineLevel="0" collapsed="false">
      <c r="A35" s="3" t="s">
        <v>111</v>
      </c>
      <c r="B35" s="9" t="n">
        <f aca="false">INDEX(Constants!B39:B47,MATCH(B6,Constants!A39:A47,0))</f>
        <v>1</v>
      </c>
    </row>
    <row r="36" customFormat="false" ht="15" hidden="false" customHeight="false" outlineLevel="0" collapsed="false">
      <c r="A36" s="3" t="s">
        <v>112</v>
      </c>
      <c r="B36" s="10" t="n">
        <f aca="false">C19/(C19+Constants!B50)</f>
        <v>0.024390243902439</v>
      </c>
    </row>
    <row r="37" customFormat="false" ht="15" hidden="false" customHeight="false" outlineLevel="0" collapsed="false">
      <c r="A37" s="3" t="s">
        <v>113</v>
      </c>
      <c r="B37" s="10" t="n">
        <f aca="false">IF(B7="Dual-Wield Weapon",Constants!B54+IF(B5="Melee DPS",Constants!B57,0),0)</f>
        <v>0</v>
      </c>
    </row>
    <row r="38" customFormat="false" ht="15" hidden="false" customHeight="false" outlineLevel="0" collapsed="false">
      <c r="A38" s="3" t="s">
        <v>114</v>
      </c>
      <c r="B38" s="10" t="n">
        <f aca="false">MIN(B36+B37,Constants!B51)</f>
        <v>0.024390243902439</v>
      </c>
    </row>
    <row r="39" customFormat="false" ht="15" hidden="false" customHeight="false" outlineLevel="0" collapsed="false">
      <c r="A39" s="3" t="s">
        <v>115</v>
      </c>
      <c r="B39" s="9" t="n">
        <f aca="false">B35*(1-B38)</f>
        <v>0.975609756097561</v>
      </c>
    </row>
    <row r="40" customFormat="false" ht="15" hidden="false" customHeight="false" outlineLevel="0" collapsed="false">
      <c r="A40" s="3" t="s">
        <v>116</v>
      </c>
      <c r="B40" s="9" t="n">
        <f aca="false">1/B39</f>
        <v>1.025</v>
      </c>
    </row>
    <row r="42" customFormat="false" ht="15" hidden="false" customHeight="false" outlineLevel="0" collapsed="false">
      <c r="A42" s="3" t="s">
        <v>117</v>
      </c>
      <c r="B42" s="10" t="n">
        <f aca="false">IF(B7="Shield",Constants!B68+IF(B5="Tank",Constants!B58,0),0)</f>
        <v>0</v>
      </c>
    </row>
    <row r="43" customFormat="false" ht="15" hidden="false" customHeight="false" outlineLevel="0" collapsed="false">
      <c r="A43" s="3" t="s">
        <v>118</v>
      </c>
      <c r="B43" s="9" t="n">
        <f aca="false">IF(B7="Shield",Constants!B69+IF(B5="Tank",Constants!B59,0),0)</f>
        <v>0</v>
      </c>
    </row>
    <row r="44" customFormat="false" ht="15" hidden="false" customHeight="false" outlineLevel="0" collapsed="false">
      <c r="A44" s="3" t="s">
        <v>119</v>
      </c>
      <c r="B44" s="10" t="n">
        <f aca="false">IF(AND(B5="Ranged DPS",B6="Bow"),Constants!B60,0)</f>
        <v>0</v>
      </c>
    </row>
    <row r="45" customFormat="false" ht="15" hidden="false" customHeight="false" outlineLevel="0" collapsed="false">
      <c r="A45" s="3" t="s">
        <v>120</v>
      </c>
      <c r="B45" s="10" t="n">
        <f aca="false">IF(AND(B5="Ranged DPS",B6="Bow"),Constants!B61,0)</f>
        <v>0</v>
      </c>
    </row>
    <row r="46" customFormat="false" ht="15" hidden="false" customHeight="false" outlineLevel="0" collapsed="false">
      <c r="A46" s="3" t="s">
        <v>121</v>
      </c>
      <c r="B46" s="10" t="n">
        <f aca="false">IF(AND(B5="Caster DPS",B6="Staff"),Constants!B62,0)</f>
        <v>0</v>
      </c>
    </row>
    <row r="47" customFormat="false" ht="15" hidden="false" customHeight="false" outlineLevel="0" collapsed="false">
      <c r="A47" s="3" t="s">
        <v>122</v>
      </c>
      <c r="B47" s="10" t="n">
        <f aca="false">IF(AND(B5="Caster DPS",B6="Staff"),Constants!B63,0)</f>
        <v>0</v>
      </c>
    </row>
    <row r="48" customFormat="false" ht="15" hidden="false" customHeight="false" outlineLevel="0" collapsed="false">
      <c r="A48" s="3" t="s">
        <v>123</v>
      </c>
      <c r="B48" s="10" t="n">
        <f aca="false">IF(AND(B5="Caster DPS",B6="Staff"),Constants!B64,0)</f>
        <v>0</v>
      </c>
    </row>
    <row r="49" customFormat="false" ht="15" hidden="false" customHeight="false" outlineLevel="0" collapsed="false">
      <c r="A49" s="3" t="s">
        <v>124</v>
      </c>
      <c r="B49" s="10" t="n">
        <f aca="false">IF(AND(B5="Support",B6="Tome"),Constants!B65,0)</f>
        <v>0</v>
      </c>
    </row>
    <row r="51" customFormat="false" ht="15" hidden="false" customHeight="false" outlineLevel="0" collapsed="false">
      <c r="A51" s="3" t="s">
        <v>139</v>
      </c>
      <c r="B51" s="10" t="n">
        <f aca="false">Constants!B12+(C20/(C20+Constants!B14))*Constants!B13+B44+B47</f>
        <v>0.060655737704918</v>
      </c>
    </row>
    <row r="52" customFormat="false" ht="15" hidden="false" customHeight="false" outlineLevel="0" collapsed="false">
      <c r="A52" s="3" t="s">
        <v>140</v>
      </c>
      <c r="B52" s="9" t="n">
        <f aca="false">Constants!B15+(C20/(C20+Constants!B17))*Constants!B16</f>
        <v>1.54098360655738</v>
      </c>
    </row>
    <row r="54" customFormat="false" ht="15" hidden="false" customHeight="false" outlineLevel="0" collapsed="false">
      <c r="A54" s="11" t="s">
        <v>141</v>
      </c>
      <c r="B54" s="11"/>
      <c r="C54" s="11"/>
    </row>
  </sheetData>
  <mergeCells count="7">
    <mergeCell ref="A1:C1"/>
    <mergeCell ref="A2:C2"/>
    <mergeCell ref="A13:C13"/>
    <mergeCell ref="A22:C22"/>
    <mergeCell ref="A29:C29"/>
    <mergeCell ref="A34:C34"/>
    <mergeCell ref="A54:C54"/>
  </mergeCells>
  <dataValidations count="5">
    <dataValidation allowBlank="false" errorStyle="stop" operator="between" showDropDown="false" showErrorMessage="false" showInputMessage="false" sqref="B5" type="list">
      <formula1>"Melee DPS,Tank,Ranged DPS,Caster DPS,Support"</formula1>
      <formula2>0</formula2>
    </dataValidation>
    <dataValidation allowBlank="false" errorStyle="stop" operator="between" showDropDown="false" showErrorMessage="false" showInputMessage="false" sqref="B6" type="list">
      <formula1>"Dagger,Wand,Sword,Bow,Axe,Mace,Staff,Tome,Greatsword"</formula1>
      <formula2>0</formula2>
    </dataValidation>
    <dataValidation allowBlank="false" errorStyle="stop" operator="between" showDropDown="false" showErrorMessage="false" showInputMessage="false" sqref="B7" type="list">
      <formula1>"Dual-Wield Weapon,Shield,None"</formula1>
      <formula2>0</formula2>
    </dataValidation>
    <dataValidation allowBlank="false" errorStyle="stop" operator="between" showDropDown="false" showErrorMessage="false" showInputMessage="false" sqref="B8" type="list">
      <formula1>"Physical,Fire,Ice,Lightning,Poison"</formula1>
      <formula2>0</formula2>
    </dataValidation>
    <dataValidation allowBlank="false" errorStyle="stop" operator="between" showDropDown="false" showErrorMessage="false" showInputMessage="false" sqref="B9" type="list">
      <formula1>"Weak,Neutral,Resistant,Immune"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4"/>
  </cols>
  <sheetData>
    <row r="1" customFormat="false" ht="21.75" hidden="false" customHeight="true" outlineLevel="0" collapsed="false">
      <c r="A1" s="1" t="s">
        <v>142</v>
      </c>
      <c r="B1" s="1"/>
    </row>
    <row r="3" customFormat="false" ht="15" hidden="false" customHeight="false" outlineLevel="0" collapsed="false">
      <c r="A3" s="2" t="s">
        <v>143</v>
      </c>
      <c r="B3" s="2"/>
    </row>
    <row r="4" customFormat="false" ht="15" hidden="false" customHeight="false" outlineLevel="0" collapsed="false">
      <c r="A4" s="3" t="s">
        <v>144</v>
      </c>
      <c r="B4" s="9" t="n">
        <f aca="false">PlayerBuild!B26*(1+PlayerBuild!E11/Constants!B30)</f>
        <v>21</v>
      </c>
    </row>
    <row r="5" customFormat="false" ht="15" hidden="false" customHeight="false" outlineLevel="0" collapsed="false">
      <c r="A5" s="3" t="s">
        <v>145</v>
      </c>
      <c r="B5" s="10" t="n">
        <f aca="false">EnemyBuild!C18/(EnemyBuild!C18+Constants!B4)</f>
        <v>0.130434782608696</v>
      </c>
    </row>
    <row r="6" customFormat="false" ht="15" hidden="false" customHeight="false" outlineLevel="0" collapsed="false">
      <c r="A6" s="3" t="s">
        <v>146</v>
      </c>
      <c r="B6" s="9" t="n">
        <f aca="false">B4*(1-B5)</f>
        <v>18.2608695652174</v>
      </c>
    </row>
    <row r="7" customFormat="false" ht="15" hidden="false" customHeight="false" outlineLevel="0" collapsed="false">
      <c r="A7" s="3" t="s">
        <v>147</v>
      </c>
      <c r="B7" s="9" t="n">
        <f aca="false">IF(EnemyBuild!B9="Weak",Constants!B20,IF(EnemyBuild!B9="Resistant",Constants!B22,IF(EnemyBuild!B9="Immune",Constants!B23,Constants!B21)))</f>
        <v>1</v>
      </c>
    </row>
    <row r="8" customFormat="false" ht="15" hidden="false" customHeight="false" outlineLevel="0" collapsed="false">
      <c r="A8" s="3" t="s">
        <v>148</v>
      </c>
      <c r="B8" s="9" t="n">
        <f aca="false">B6*B7</f>
        <v>18.2608695652174</v>
      </c>
    </row>
    <row r="9" customFormat="false" ht="15" hidden="false" customHeight="false" outlineLevel="0" collapsed="false">
      <c r="A9" s="3" t="s">
        <v>139</v>
      </c>
      <c r="B9" s="10" t="n">
        <f aca="false">Constants!B12+(PlayerBuild!E16/(PlayerBuild!E16+Constants!B14))*Constants!B13+PlayerBuild!B41</f>
        <v>0.060655737704918</v>
      </c>
    </row>
    <row r="10" customFormat="false" ht="15" hidden="false" customHeight="false" outlineLevel="0" collapsed="false">
      <c r="A10" s="3" t="s">
        <v>140</v>
      </c>
      <c r="B10" s="9" t="n">
        <f aca="false">Constants!B15+(PlayerBuild!E16/(PlayerBuild!E16+Constants!B17))*Constants!B16</f>
        <v>1.54098360655738</v>
      </c>
    </row>
    <row r="11" customFormat="false" ht="15" hidden="false" customHeight="false" outlineLevel="0" collapsed="false">
      <c r="A11" s="3" t="s">
        <v>149</v>
      </c>
      <c r="B11" s="9" t="n">
        <f aca="false">B8*(1+B9*(B10-1))</f>
        <v>18.8600773518105</v>
      </c>
    </row>
    <row r="12" customFormat="false" ht="15" hidden="false" customHeight="false" outlineLevel="0" collapsed="false">
      <c r="A12" s="3" t="s">
        <v>150</v>
      </c>
      <c r="B12" s="12" t="n">
        <f aca="false">1+PlayerBuild!B42</f>
        <v>1</v>
      </c>
    </row>
    <row r="13" customFormat="false" ht="15" hidden="false" customHeight="false" outlineLevel="0" collapsed="false">
      <c r="A13" s="3" t="s">
        <v>109</v>
      </c>
      <c r="B13" s="9" t="n">
        <f aca="false">PlayerBuild!B29</f>
        <v>1</v>
      </c>
    </row>
    <row r="14" customFormat="false" ht="15" hidden="false" customHeight="false" outlineLevel="0" collapsed="false">
      <c r="A14" s="3" t="s">
        <v>151</v>
      </c>
      <c r="B14" s="9" t="n">
        <f aca="false">B11*B12*B13</f>
        <v>18.8600773518105</v>
      </c>
    </row>
    <row r="15" customFormat="false" ht="15" hidden="false" customHeight="false" outlineLevel="0" collapsed="false">
      <c r="A15" s="3" t="s">
        <v>116</v>
      </c>
      <c r="B15" s="9" t="n">
        <f aca="false">PlayerBuild!B37</f>
        <v>1.59844054580897</v>
      </c>
    </row>
    <row r="16" customFormat="false" ht="15" hidden="false" customHeight="false" outlineLevel="0" collapsed="false">
      <c r="A16" s="3" t="s">
        <v>152</v>
      </c>
      <c r="B16" s="9" t="n">
        <f aca="false">B14*B15</f>
        <v>30.1467123362273</v>
      </c>
    </row>
    <row r="17" customFormat="false" ht="15" hidden="false" customHeight="false" outlineLevel="0" collapsed="false">
      <c r="A17" s="3" t="s">
        <v>153</v>
      </c>
      <c r="B17" s="9" t="n">
        <f aca="false">EnemyBuild!B32</f>
        <v>200</v>
      </c>
    </row>
    <row r="18" customFormat="false" ht="15" hidden="false" customHeight="false" outlineLevel="0" collapsed="false">
      <c r="A18" s="3" t="s">
        <v>154</v>
      </c>
      <c r="B18" s="9" t="n">
        <f aca="false">B17/B16</f>
        <v>6.63422259015819</v>
      </c>
    </row>
    <row r="19" customFormat="false" ht="15" hidden="false" customHeight="false" outlineLevel="0" collapsed="false">
      <c r="A19" s="3" t="s">
        <v>155</v>
      </c>
      <c r="B19" s="9" t="n">
        <f aca="false">ROUNDUP(B17/B14,0)</f>
        <v>11</v>
      </c>
    </row>
    <row r="20" customFormat="false" ht="15" hidden="false" customHeight="false" outlineLevel="0" collapsed="false">
      <c r="A20" s="3" t="s">
        <v>156</v>
      </c>
      <c r="B20" s="13" t="str">
        <f aca="false">IF(AND(B19&gt;=4,B19&lt;=8),"In target range (4-8 hits)","Outside target range (4-8 hits)")</f>
        <v>Outside target range (4-8 hits)</v>
      </c>
    </row>
    <row r="22" customFormat="false" ht="15" hidden="false" customHeight="false" outlineLevel="0" collapsed="false">
      <c r="A22" s="2" t="s">
        <v>157</v>
      </c>
      <c r="B22" s="2"/>
    </row>
    <row r="23" customFormat="false" ht="15" hidden="false" customHeight="false" outlineLevel="0" collapsed="false">
      <c r="A23" s="3" t="s">
        <v>144</v>
      </c>
      <c r="B23" s="9" t="n">
        <f aca="false">PlayerBuild!B27*(1+PlayerBuild!E12/Constants!B31)</f>
        <v>21</v>
      </c>
    </row>
    <row r="24" customFormat="false" ht="15" hidden="false" customHeight="false" outlineLevel="0" collapsed="false">
      <c r="A24" s="3" t="s">
        <v>158</v>
      </c>
      <c r="B24" s="9" t="n">
        <f aca="false">IF(PlayerBuild!B50="Fire",EnemyBuild!C24,IF(PlayerBuild!B50="Ice",EnemyBuild!C25,IF(PlayerBuild!B50="Lightning",EnemyBuild!C26,EnemyBuild!C27)))</f>
        <v>0</v>
      </c>
    </row>
    <row r="25" customFormat="false" ht="15" hidden="false" customHeight="false" outlineLevel="0" collapsed="false">
      <c r="A25" s="3" t="s">
        <v>159</v>
      </c>
      <c r="B25" s="10" t="n">
        <f aca="false">PlayerBuild!B45</f>
        <v>0</v>
      </c>
    </row>
    <row r="26" customFormat="false" ht="15" hidden="false" customHeight="false" outlineLevel="0" collapsed="false">
      <c r="A26" s="3" t="s">
        <v>160</v>
      </c>
      <c r="B26" s="9" t="n">
        <f aca="false">B24*(1-B25)</f>
        <v>0</v>
      </c>
    </row>
    <row r="27" customFormat="false" ht="15" hidden="false" customHeight="false" outlineLevel="0" collapsed="false">
      <c r="A27" s="3" t="s">
        <v>145</v>
      </c>
      <c r="B27" s="10" t="n">
        <f aca="false">B26/(B26+Constants!B5)</f>
        <v>0</v>
      </c>
    </row>
    <row r="28" customFormat="false" ht="15" hidden="false" customHeight="false" outlineLevel="0" collapsed="false">
      <c r="A28" s="3" t="s">
        <v>146</v>
      </c>
      <c r="B28" s="9" t="n">
        <f aca="false">B23*(1-B27)</f>
        <v>21</v>
      </c>
    </row>
    <row r="29" customFormat="false" ht="15" hidden="false" customHeight="false" outlineLevel="0" collapsed="false">
      <c r="A29" s="3" t="s">
        <v>147</v>
      </c>
      <c r="B29" s="9" t="n">
        <f aca="false">B7</f>
        <v>1</v>
      </c>
    </row>
    <row r="30" customFormat="false" ht="15" hidden="false" customHeight="false" outlineLevel="0" collapsed="false">
      <c r="A30" s="3" t="s">
        <v>148</v>
      </c>
      <c r="B30" s="9" t="n">
        <f aca="false">B28*B29</f>
        <v>21</v>
      </c>
    </row>
    <row r="31" customFormat="false" ht="15" hidden="false" customHeight="false" outlineLevel="0" collapsed="false">
      <c r="A31" s="3" t="s">
        <v>161</v>
      </c>
      <c r="B31" s="10" t="n">
        <f aca="false">Constants!B12+(PlayerBuild!E16/(PlayerBuild!E16+Constants!B14))*Constants!B13+PlayerBuild!B44</f>
        <v>0.060655737704918</v>
      </c>
    </row>
    <row r="32" customFormat="false" ht="15" hidden="false" customHeight="false" outlineLevel="0" collapsed="false">
      <c r="A32" s="3" t="s">
        <v>162</v>
      </c>
      <c r="B32" s="9" t="n">
        <f aca="false">Constants!B15+(PlayerBuild!E16/(PlayerBuild!E16+Constants!B17))*Constants!B16</f>
        <v>1.54098360655738</v>
      </c>
    </row>
    <row r="33" customFormat="false" ht="15" hidden="false" customHeight="false" outlineLevel="0" collapsed="false">
      <c r="A33" s="3" t="s">
        <v>149</v>
      </c>
      <c r="B33" s="9" t="n">
        <f aca="false">B30*(1+B31*(B32-1))</f>
        <v>21.6890889545821</v>
      </c>
    </row>
    <row r="34" customFormat="false" ht="15" hidden="false" customHeight="false" outlineLevel="0" collapsed="false">
      <c r="A34" s="3" t="s">
        <v>163</v>
      </c>
      <c r="B34" s="12" t="n">
        <f aca="false">1+PlayerBuild!B43</f>
        <v>1</v>
      </c>
    </row>
    <row r="35" customFormat="false" ht="15" hidden="false" customHeight="false" outlineLevel="0" collapsed="false">
      <c r="A35" s="3" t="s">
        <v>109</v>
      </c>
      <c r="B35" s="9" t="n">
        <f aca="false">B13</f>
        <v>1</v>
      </c>
    </row>
    <row r="36" customFormat="false" ht="15" hidden="false" customHeight="false" outlineLevel="0" collapsed="false">
      <c r="A36" s="3" t="s">
        <v>151</v>
      </c>
      <c r="B36" s="9" t="n">
        <f aca="false">B33*B34*B35</f>
        <v>21.6890889545821</v>
      </c>
    </row>
    <row r="37" customFormat="false" ht="15" hidden="false" customHeight="false" outlineLevel="0" collapsed="false">
      <c r="A37" s="3" t="s">
        <v>116</v>
      </c>
      <c r="B37" s="9" t="n">
        <f aca="false">PlayerBuild!B37</f>
        <v>1.59844054580897</v>
      </c>
    </row>
    <row r="38" customFormat="false" ht="15" hidden="false" customHeight="false" outlineLevel="0" collapsed="false">
      <c r="A38" s="3" t="s">
        <v>164</v>
      </c>
      <c r="B38" s="9" t="n">
        <f aca="false">B36*B37</f>
        <v>34.6687191866615</v>
      </c>
    </row>
    <row r="39" customFormat="false" ht="15" hidden="false" customHeight="false" outlineLevel="0" collapsed="false">
      <c r="A39" s="3" t="s">
        <v>153</v>
      </c>
      <c r="B39" s="9" t="n">
        <f aca="false">B17</f>
        <v>200</v>
      </c>
    </row>
    <row r="40" customFormat="false" ht="15" hidden="false" customHeight="false" outlineLevel="0" collapsed="false">
      <c r="A40" s="3" t="s">
        <v>154</v>
      </c>
      <c r="B40" s="9" t="n">
        <f aca="false">B39/B38</f>
        <v>5.76888920883321</v>
      </c>
    </row>
    <row r="41" customFormat="false" ht="15" hidden="false" customHeight="false" outlineLevel="0" collapsed="false">
      <c r="A41" s="3" t="s">
        <v>155</v>
      </c>
      <c r="B41" s="9" t="n">
        <f aca="false">ROUNDUP(B39/B36,0)</f>
        <v>10</v>
      </c>
    </row>
    <row r="42" customFormat="false" ht="15" hidden="false" customHeight="false" outlineLevel="0" collapsed="false">
      <c r="A42" s="3" t="s">
        <v>156</v>
      </c>
      <c r="B42" s="13" t="str">
        <f aca="false">IF(AND(B41&gt;=4,B41&lt;=8),"In target range (4-8 hits)","Outside target range (4-8 hits)")</f>
        <v>Outside target range (4-8 hits)</v>
      </c>
    </row>
    <row r="44" customFormat="false" ht="15" hidden="false" customHeight="false" outlineLevel="0" collapsed="false">
      <c r="A44" s="2" t="s">
        <v>165</v>
      </c>
      <c r="B44" s="2"/>
    </row>
    <row r="45" customFormat="false" ht="15" hidden="false" customHeight="false" outlineLevel="0" collapsed="false">
      <c r="A45" s="3" t="s">
        <v>166</v>
      </c>
      <c r="B45" s="9" t="str">
        <f aca="false">EnemyBuild!B8</f>
        <v>Physical</v>
      </c>
    </row>
    <row r="46" customFormat="false" ht="15" hidden="false" customHeight="false" outlineLevel="0" collapsed="false">
      <c r="A46" s="3" t="s">
        <v>167</v>
      </c>
      <c r="B46" s="9" t="n">
        <f aca="false">IF(B45="Physical",EnemyBuild!B30*(1+EnemyBuild!C15/Constants!B30),EnemyBuild!B31*(1+EnemyBuild!C16/Constants!B31))</f>
        <v>17.25</v>
      </c>
    </row>
    <row r="47" customFormat="false" ht="15" hidden="false" customHeight="false" outlineLevel="0" collapsed="false">
      <c r="A47" s="3" t="s">
        <v>168</v>
      </c>
      <c r="B47" s="9" t="n">
        <f aca="false">IF(B45="Physical",PlayerBuild!E14+PlayerBuild!B40,IF(B45="Fire",PlayerBuild!E20,IF(B45="Ice",PlayerBuild!E21,IF(B45="Lightning",PlayerBuild!E22,IF(B45="Poison",PlayerBuild!E23,PlayerBuild!E14+PlayerBuild!B40)))))</f>
        <v>5</v>
      </c>
    </row>
    <row r="48" customFormat="false" ht="15" hidden="false" customHeight="false" outlineLevel="0" collapsed="false">
      <c r="A48" s="3" t="s">
        <v>169</v>
      </c>
      <c r="B48" s="9" t="n">
        <f aca="false">IF(B45="Physical",Constants!B4,Constants!B5)</f>
        <v>100</v>
      </c>
    </row>
    <row r="49" customFormat="false" ht="15" hidden="false" customHeight="false" outlineLevel="0" collapsed="false">
      <c r="A49" s="3" t="s">
        <v>145</v>
      </c>
      <c r="B49" s="10" t="n">
        <f aca="false">B47/(B47+B48)</f>
        <v>0.0476190476190476</v>
      </c>
    </row>
    <row r="50" customFormat="false" ht="15" hidden="false" customHeight="false" outlineLevel="0" collapsed="false">
      <c r="A50" s="3" t="s">
        <v>146</v>
      </c>
      <c r="B50" s="9" t="n">
        <f aca="false">B46*(1-B49)</f>
        <v>16.4285714285714</v>
      </c>
    </row>
    <row r="51" customFormat="false" ht="15" hidden="false" customHeight="false" outlineLevel="0" collapsed="false">
      <c r="A51" s="3" t="s">
        <v>170</v>
      </c>
      <c r="B51" s="10" t="n">
        <f aca="false">EnemyBuild!B51</f>
        <v>0.060655737704918</v>
      </c>
    </row>
    <row r="52" customFormat="false" ht="15" hidden="false" customHeight="false" outlineLevel="0" collapsed="false">
      <c r="A52" s="3" t="s">
        <v>171</v>
      </c>
      <c r="B52" s="9" t="n">
        <f aca="false">EnemyBuild!B52</f>
        <v>1.54098360655738</v>
      </c>
    </row>
    <row r="53" customFormat="false" ht="15" hidden="false" customHeight="false" outlineLevel="0" collapsed="false">
      <c r="A53" s="3" t="s">
        <v>149</v>
      </c>
      <c r="B53" s="9" t="n">
        <f aca="false">B50*(1+B51*(B52-1))</f>
        <v>16.9676546243329</v>
      </c>
    </row>
    <row r="54" customFormat="false" ht="15" hidden="false" customHeight="false" outlineLevel="0" collapsed="false">
      <c r="A54" s="3" t="s">
        <v>136</v>
      </c>
      <c r="B54" s="9" t="n">
        <f aca="false">EnemyBuild!B11</f>
        <v>1</v>
      </c>
    </row>
    <row r="55" customFormat="false" ht="15" hidden="false" customHeight="false" outlineLevel="0" collapsed="false">
      <c r="A55" s="3" t="s">
        <v>151</v>
      </c>
      <c r="B55" s="9" t="n">
        <f aca="false">B53*B54</f>
        <v>16.9676546243329</v>
      </c>
    </row>
    <row r="56" customFormat="false" ht="15" hidden="false" customHeight="false" outlineLevel="0" collapsed="false">
      <c r="A56" s="3" t="s">
        <v>172</v>
      </c>
      <c r="B56" s="10" t="n">
        <f aca="false">PlayerBuild!B39</f>
        <v>0</v>
      </c>
    </row>
    <row r="57" customFormat="false" ht="15" hidden="false" customHeight="false" outlineLevel="0" collapsed="false">
      <c r="A57" s="3" t="s">
        <v>173</v>
      </c>
      <c r="B57" s="10" t="n">
        <f aca="false">Constants!B70</f>
        <v>0.5</v>
      </c>
    </row>
    <row r="58" customFormat="false" ht="15" hidden="false" customHeight="false" outlineLevel="0" collapsed="false">
      <c r="A58" s="3" t="s">
        <v>174</v>
      </c>
      <c r="B58" s="9" t="n">
        <f aca="false">1-(B56*B57)</f>
        <v>1</v>
      </c>
    </row>
    <row r="59" customFormat="false" ht="15" hidden="false" customHeight="false" outlineLevel="0" collapsed="false">
      <c r="A59" s="3" t="s">
        <v>175</v>
      </c>
      <c r="B59" s="9" t="n">
        <f aca="false">B55*B58</f>
        <v>16.9676546243329</v>
      </c>
    </row>
    <row r="60" customFormat="false" ht="15" hidden="false" customHeight="false" outlineLevel="0" collapsed="false">
      <c r="A60" s="3" t="s">
        <v>176</v>
      </c>
      <c r="B60" s="9" t="n">
        <f aca="false">EnemyBuild!B40</f>
        <v>1.025</v>
      </c>
    </row>
    <row r="61" customFormat="false" ht="15" hidden="false" customHeight="false" outlineLevel="0" collapsed="false">
      <c r="A61" s="3" t="s">
        <v>177</v>
      </c>
      <c r="B61" s="9" t="n">
        <f aca="false">B59*B60</f>
        <v>17.3918459899413</v>
      </c>
    </row>
    <row r="62" customFormat="false" ht="15" hidden="false" customHeight="false" outlineLevel="0" collapsed="false">
      <c r="A62" s="3" t="s">
        <v>178</v>
      </c>
      <c r="B62" s="9" t="n">
        <f aca="false">PlayerBuild!B28</f>
        <v>200</v>
      </c>
    </row>
    <row r="63" customFormat="false" ht="15" hidden="false" customHeight="false" outlineLevel="0" collapsed="false">
      <c r="A63" s="3" t="s">
        <v>179</v>
      </c>
      <c r="B63" s="9" t="n">
        <f aca="false">B62/B61</f>
        <v>11.4996418503057</v>
      </c>
    </row>
    <row r="64" customFormat="false" ht="15" hidden="false" customHeight="false" outlineLevel="0" collapsed="false">
      <c r="A64" s="3" t="s">
        <v>180</v>
      </c>
      <c r="B64" s="9" t="n">
        <f aca="false">ROUNDUP(B62/B59,0)</f>
        <v>12</v>
      </c>
    </row>
    <row r="65" customFormat="false" ht="15" hidden="false" customHeight="false" outlineLevel="0" collapsed="false">
      <c r="A65" s="3" t="s">
        <v>156</v>
      </c>
      <c r="B65" s="13" t="str">
        <f aca="false">IF(B64&gt;=10,"Forgiving (10+ hits)","Below target (&lt;10 hits)")</f>
        <v>Forgiving (10+ hits)</v>
      </c>
    </row>
    <row r="67" customFormat="false" ht="15" hidden="false" customHeight="false" outlineLevel="0" collapsed="false">
      <c r="A67" s="11" t="s">
        <v>181</v>
      </c>
      <c r="B67" s="11"/>
    </row>
  </sheetData>
  <mergeCells count="5">
    <mergeCell ref="A1:B1"/>
    <mergeCell ref="A3:B3"/>
    <mergeCell ref="A22:B22"/>
    <mergeCell ref="A44:B44"/>
    <mergeCell ref="A67:B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8"/>
  </cols>
  <sheetData>
    <row r="1" customFormat="false" ht="21.75" hidden="false" customHeight="true" outlineLevel="0" collapsed="false">
      <c r="A1" s="1" t="s">
        <v>182</v>
      </c>
      <c r="B1" s="1"/>
      <c r="C1" s="1"/>
      <c r="D1" s="1"/>
      <c r="E1" s="1"/>
    </row>
    <row r="2" customFormat="false" ht="15" hidden="false" customHeight="false" outlineLevel="0" collapsed="false">
      <c r="A2" s="11" t="s">
        <v>183</v>
      </c>
      <c r="B2" s="11"/>
      <c r="C2" s="11"/>
      <c r="D2" s="11"/>
      <c r="E2" s="11"/>
    </row>
    <row r="4" customFormat="false" ht="15" hidden="false" customHeight="false" outlineLevel="0" collapsed="false">
      <c r="A4" s="2" t="s">
        <v>184</v>
      </c>
      <c r="B4" s="2"/>
      <c r="C4" s="2"/>
      <c r="D4" s="2"/>
      <c r="E4" s="2"/>
    </row>
    <row r="5" customFormat="false" ht="15" hidden="false" customHeight="false" outlineLevel="0" collapsed="false">
      <c r="A5" s="3" t="s">
        <v>185</v>
      </c>
      <c r="B5" s="4" t="n">
        <v>0</v>
      </c>
    </row>
    <row r="7" customFormat="false" ht="15" hidden="false" customHeight="false" outlineLevel="0" collapsed="false">
      <c r="A7" s="7" t="s">
        <v>80</v>
      </c>
      <c r="B7" s="7" t="s">
        <v>186</v>
      </c>
    </row>
    <row r="8" customFormat="false" ht="15" hidden="false" customHeight="false" outlineLevel="0" collapsed="false">
      <c r="A8" s="3" t="n">
        <v>1</v>
      </c>
      <c r="B8" s="14" t="n">
        <f aca="false">Constants!$B$73*(1+Constants!$B$74)^(A8-1)*(1+Constants!$B$27)^$B$5</f>
        <v>50</v>
      </c>
    </row>
    <row r="9" customFormat="false" ht="15" hidden="false" customHeight="false" outlineLevel="0" collapsed="false">
      <c r="A9" s="3" t="n">
        <v>10</v>
      </c>
      <c r="B9" s="14" t="n">
        <f aca="false">Constants!$B$73*(1+Constants!$B$74)^(A9-1)*(1+Constants!$B$27)^$B$5</f>
        <v>84.4739479501346</v>
      </c>
    </row>
    <row r="10" customFormat="false" ht="15" hidden="false" customHeight="false" outlineLevel="0" collapsed="false">
      <c r="A10" s="3" t="n">
        <v>25</v>
      </c>
      <c r="B10" s="14" t="n">
        <f aca="false">Constants!$B$73*(1+Constants!$B$74)^(A10-1)*(1+Constants!$B$27)^$B$5</f>
        <v>202.446732063372</v>
      </c>
    </row>
    <row r="11" customFormat="false" ht="15" hidden="false" customHeight="false" outlineLevel="0" collapsed="false">
      <c r="A11" s="3" t="n">
        <v>50</v>
      </c>
      <c r="B11" s="14" t="n">
        <f aca="false">Constants!$B$73*(1+Constants!$B$74)^(A11-1)*(1+Constants!$B$27)^$B$5</f>
        <v>868.875201650542</v>
      </c>
    </row>
    <row r="12" customFormat="false" ht="15" hidden="false" customHeight="false" outlineLevel="0" collapsed="false">
      <c r="A12" s="3" t="n">
        <v>75</v>
      </c>
      <c r="B12" s="14" t="n">
        <f aca="false">Constants!$B$73*(1+Constants!$B$74)^(A12-1)*(1+Constants!$B$27)^$B$5</f>
        <v>3729.10003707518</v>
      </c>
    </row>
    <row r="13" customFormat="false" ht="15" hidden="false" customHeight="false" outlineLevel="0" collapsed="false">
      <c r="A13" s="3" t="n">
        <v>100</v>
      </c>
      <c r="B13" s="14" t="n">
        <f aca="false">Constants!$B$73*(1+Constants!$B$74)^(A13-1)*(1+Constants!$B$27)^$B$5</f>
        <v>16004.8152601173</v>
      </c>
    </row>
    <row r="14" customFormat="false" ht="15" hidden="false" customHeight="false" outlineLevel="0" collapsed="false">
      <c r="A14" s="3" t="n">
        <v>150</v>
      </c>
      <c r="B14" s="14" t="n">
        <f aca="false">Constants!$B$73*(1+Constants!$B$74)^(A14-1)*(1+Constants!$B$27)^$B$5</f>
        <v>294811.166234099</v>
      </c>
    </row>
    <row r="15" customFormat="false" ht="15" hidden="false" customHeight="false" outlineLevel="0" collapsed="false">
      <c r="A15" s="3" t="n">
        <v>200</v>
      </c>
      <c r="B15" s="14" t="n">
        <f aca="false">Constants!$B$73*(1+Constants!$B$74)^(A15-1)*(1+Constants!$B$27)^$B$5</f>
        <v>5430467.16402227</v>
      </c>
    </row>
    <row r="16" customFormat="false" ht="15" hidden="false" customHeight="false" outlineLevel="0" collapsed="false">
      <c r="A16" s="3" t="n">
        <v>250</v>
      </c>
      <c r="B16" s="14" t="n">
        <f aca="false">Constants!$B$73*(1+Constants!$B$74)^(A16-1)*(1+Constants!$B$27)^$B$5</f>
        <v>100030042.946566</v>
      </c>
    </row>
    <row r="17" customFormat="false" ht="15" hidden="false" customHeight="false" outlineLevel="0" collapsed="false">
      <c r="A17" s="3" t="n">
        <v>300</v>
      </c>
      <c r="B17" s="14" t="n">
        <f aca="false">Constants!$B$73*(1+Constants!$B$74)^(A17-1)*(1+Constants!$B$27)^$B$5</f>
        <v>1842568823.20976</v>
      </c>
    </row>
    <row r="19" customFormat="false" ht="15" hidden="false" customHeight="false" outlineLevel="0" collapsed="false">
      <c r="A19" s="2" t="s">
        <v>187</v>
      </c>
      <c r="B19" s="2"/>
      <c r="C19" s="2"/>
      <c r="D19" s="2"/>
      <c r="E19" s="2"/>
    </row>
    <row r="20" customFormat="false" ht="15" hidden="false" customHeight="false" outlineLevel="0" collapsed="false">
      <c r="A20" s="7" t="s">
        <v>188</v>
      </c>
      <c r="B20" s="7" t="s">
        <v>189</v>
      </c>
    </row>
    <row r="21" customFormat="false" ht="15" hidden="false" customHeight="false" outlineLevel="0" collapsed="false">
      <c r="A21" s="3" t="n">
        <v>0</v>
      </c>
      <c r="B21" s="14" t="n">
        <f aca="false">Constants!$B$73*(1+Constants!$B$27)^A21*((1+Constants!$B$74)^Constants!$B$75-1)/Constants!$B$74</f>
        <v>95937419.8977267</v>
      </c>
    </row>
    <row r="22" customFormat="false" ht="15" hidden="false" customHeight="false" outlineLevel="0" collapsed="false">
      <c r="A22" s="3" t="n">
        <v>1</v>
      </c>
      <c r="B22" s="14" t="n">
        <f aca="false">Constants!$B$73*(1+Constants!$B$27)^A22*((1+Constants!$B$74)^Constants!$B$75-1)/Constants!$B$74</f>
        <v>110328032.882386</v>
      </c>
    </row>
    <row r="23" customFormat="false" ht="15" hidden="false" customHeight="false" outlineLevel="0" collapsed="false">
      <c r="A23" s="3" t="n">
        <v>2</v>
      </c>
      <c r="B23" s="14" t="n">
        <f aca="false">Constants!$B$73*(1+Constants!$B$27)^A23*((1+Constants!$B$74)^Constants!$B$75-1)/Constants!$B$74</f>
        <v>126877237.814744</v>
      </c>
    </row>
    <row r="24" customFormat="false" ht="15" hidden="false" customHeight="false" outlineLevel="0" collapsed="false">
      <c r="A24" s="3" t="n">
        <v>3</v>
      </c>
      <c r="B24" s="14" t="n">
        <f aca="false">Constants!$B$73*(1+Constants!$B$27)^A24*((1+Constants!$B$74)^Constants!$B$75-1)/Constants!$B$74</f>
        <v>145908823.486955</v>
      </c>
    </row>
    <row r="25" customFormat="false" ht="15" hidden="false" customHeight="false" outlineLevel="0" collapsed="false">
      <c r="A25" s="3" t="n">
        <v>4</v>
      </c>
      <c r="B25" s="14" t="n">
        <f aca="false">Constants!$B$73*(1+Constants!$B$27)^A25*((1+Constants!$B$74)^Constants!$B$75-1)/Constants!$B$74</f>
        <v>167795147.009998</v>
      </c>
    </row>
    <row r="26" customFormat="false" ht="15" hidden="false" customHeight="false" outlineLevel="0" collapsed="false">
      <c r="A26" s="3" t="n">
        <v>5</v>
      </c>
      <c r="B26" s="14" t="n">
        <f aca="false">Constants!$B$73*(1+Constants!$B$27)^A26*((1+Constants!$B$74)^Constants!$B$75-1)/Constants!$B$74</f>
        <v>192964419.061498</v>
      </c>
    </row>
    <row r="28" customFormat="false" ht="15" hidden="false" customHeight="false" outlineLevel="0" collapsed="false">
      <c r="A28" s="2" t="s">
        <v>190</v>
      </c>
      <c r="B28" s="2"/>
      <c r="C28" s="2"/>
      <c r="D28" s="2"/>
      <c r="E28" s="2"/>
    </row>
    <row r="29" customFormat="false" ht="15" hidden="false" customHeight="false" outlineLevel="0" collapsed="false">
      <c r="A29" s="3" t="s">
        <v>191</v>
      </c>
      <c r="B29" s="9" t="n">
        <f aca="false">Constants!B83*Constants!B85+Constants!B84*Constants!B86</f>
        <v>1200</v>
      </c>
    </row>
    <row r="30" customFormat="false" ht="15" hidden="false" customHeight="false" outlineLevel="0" collapsed="false">
      <c r="A30" s="3" t="s">
        <v>192</v>
      </c>
      <c r="B30" s="9" t="n">
        <f aca="false">Constants!B75*Constants!B76</f>
        <v>36000</v>
      </c>
    </row>
    <row r="31" customFormat="false" ht="15" hidden="false" customHeight="false" outlineLevel="0" collapsed="false">
      <c r="A31" s="3" t="s">
        <v>193</v>
      </c>
      <c r="B31" s="15" t="n">
        <f aca="false">B30/B29</f>
        <v>30</v>
      </c>
    </row>
    <row r="32" customFormat="false" ht="15" hidden="false" customHeight="false" outlineLevel="0" collapsed="false">
      <c r="A32" s="3" t="s">
        <v>194</v>
      </c>
      <c r="B32" s="9" t="n">
        <f aca="false">Constants!B87</f>
        <v>30</v>
      </c>
    </row>
    <row r="33" customFormat="false" ht="15" hidden="false" customHeight="false" outlineLevel="0" collapsed="false">
      <c r="A33" s="3" t="s">
        <v>156</v>
      </c>
      <c r="B33" s="13" t="str">
        <f aca="false">IF(ABS(B31-B32)&lt;=B32*0.15,"Within 15% of target — good calibration","Adjust KillsPerLevel or kill-rate assumptions")</f>
        <v>Within 15% of target — good calibration</v>
      </c>
    </row>
    <row r="35" customFormat="false" ht="15" hidden="false" customHeight="false" outlineLevel="0" collapsed="false">
      <c r="A35" s="2" t="s">
        <v>195</v>
      </c>
      <c r="B35" s="2"/>
      <c r="C35" s="2"/>
      <c r="D35" s="2"/>
      <c r="E35" s="2"/>
    </row>
    <row r="36" customFormat="false" ht="15" hidden="false" customHeight="false" outlineLevel="0" collapsed="false">
      <c r="A36" s="7" t="s">
        <v>188</v>
      </c>
      <c r="B36" s="7" t="s">
        <v>196</v>
      </c>
      <c r="C36" s="7" t="s">
        <v>197</v>
      </c>
      <c r="D36" s="7" t="s">
        <v>198</v>
      </c>
      <c r="E36" s="7" t="s">
        <v>199</v>
      </c>
    </row>
    <row r="37" customFormat="false" ht="15" hidden="false" customHeight="false" outlineLevel="0" collapsed="false">
      <c r="A37" s="3" t="n">
        <v>0</v>
      </c>
      <c r="B37" s="16" t="n">
        <f aca="false">(1+Constants!$B$27)^A37</f>
        <v>1</v>
      </c>
      <c r="C37" s="16" t="n">
        <f aca="false">(1+Constants!$B$26)^A37</f>
        <v>1</v>
      </c>
      <c r="D37" s="16" t="n">
        <f aca="false">((1+Constants!$B$27)/(1+Constants!$B$26))^A37</f>
        <v>1</v>
      </c>
      <c r="E37" s="15" t="n">
        <f aca="false">$B$31*D37</f>
        <v>30</v>
      </c>
    </row>
    <row r="38" customFormat="false" ht="15" hidden="false" customHeight="false" outlineLevel="0" collapsed="false">
      <c r="A38" s="3" t="n">
        <v>1</v>
      </c>
      <c r="B38" s="16" t="n">
        <f aca="false">(1+Constants!$B$27)^A38</f>
        <v>1.15</v>
      </c>
      <c r="C38" s="16" t="n">
        <f aca="false">(1+Constants!$B$26)^A38</f>
        <v>1.1</v>
      </c>
      <c r="D38" s="16" t="n">
        <f aca="false">((1+Constants!$B$27)/(1+Constants!$B$26))^A38</f>
        <v>1.04545454545455</v>
      </c>
      <c r="E38" s="15" t="n">
        <f aca="false">$B$31*D38</f>
        <v>31.3636363636364</v>
      </c>
    </row>
    <row r="39" customFormat="false" ht="15" hidden="false" customHeight="false" outlineLevel="0" collapsed="false">
      <c r="A39" s="3" t="n">
        <v>2</v>
      </c>
      <c r="B39" s="16" t="n">
        <f aca="false">(1+Constants!$B$27)^A39</f>
        <v>1.3225</v>
      </c>
      <c r="C39" s="16" t="n">
        <f aca="false">(1+Constants!$B$26)^A39</f>
        <v>1.21</v>
      </c>
      <c r="D39" s="16" t="n">
        <f aca="false">((1+Constants!$B$27)/(1+Constants!$B$26))^A39</f>
        <v>1.09297520661157</v>
      </c>
      <c r="E39" s="15" t="n">
        <f aca="false">$B$31*D39</f>
        <v>32.7892561983471</v>
      </c>
    </row>
    <row r="40" customFormat="false" ht="15" hidden="false" customHeight="false" outlineLevel="0" collapsed="false">
      <c r="A40" s="3" t="n">
        <v>3</v>
      </c>
      <c r="B40" s="16" t="n">
        <f aca="false">(1+Constants!$B$27)^A40</f>
        <v>1.520875</v>
      </c>
      <c r="C40" s="16" t="n">
        <f aca="false">(1+Constants!$B$26)^A40</f>
        <v>1.331</v>
      </c>
      <c r="D40" s="16" t="n">
        <f aca="false">((1+Constants!$B$27)/(1+Constants!$B$26))^A40</f>
        <v>1.14265589782119</v>
      </c>
      <c r="E40" s="15" t="n">
        <f aca="false">$B$31*D40</f>
        <v>34.2796769346356</v>
      </c>
    </row>
    <row r="41" customFormat="false" ht="15" hidden="false" customHeight="false" outlineLevel="0" collapsed="false">
      <c r="A41" s="3" t="n">
        <v>4</v>
      </c>
      <c r="B41" s="16" t="n">
        <f aca="false">(1+Constants!$B$27)^A41</f>
        <v>1.74900625</v>
      </c>
      <c r="C41" s="16" t="n">
        <f aca="false">(1+Constants!$B$26)^A41</f>
        <v>1.4641</v>
      </c>
      <c r="D41" s="16" t="n">
        <f aca="false">((1+Constants!$B$27)/(1+Constants!$B$26))^A41</f>
        <v>1.1945948022676</v>
      </c>
      <c r="E41" s="15" t="n">
        <f aca="false">$B$31*D41</f>
        <v>35.8378440680281</v>
      </c>
    </row>
    <row r="42" customFormat="false" ht="15" hidden="false" customHeight="false" outlineLevel="0" collapsed="false">
      <c r="A42" s="3" t="n">
        <v>5</v>
      </c>
      <c r="B42" s="16" t="n">
        <f aca="false">(1+Constants!$B$27)^A42</f>
        <v>2.0113571875</v>
      </c>
      <c r="C42" s="16" t="n">
        <f aca="false">(1+Constants!$B$26)^A42</f>
        <v>1.61051</v>
      </c>
      <c r="D42" s="16" t="n">
        <f aca="false">((1+Constants!$B$27)/(1+Constants!$B$26))^A42</f>
        <v>1.24889456600704</v>
      </c>
      <c r="E42" s="15" t="n">
        <f aca="false">$B$31*D42</f>
        <v>37.4668369802112</v>
      </c>
    </row>
    <row r="44" customFormat="false" ht="15" hidden="false" customHeight="false" outlineLevel="0" collapsed="false">
      <c r="A44" s="3" t="s">
        <v>200</v>
      </c>
      <c r="B44" s="15" t="n">
        <f aca="false">SUM(E37:E42)</f>
        <v>201.737250544858</v>
      </c>
      <c r="C44" s="5" t="s">
        <v>201</v>
      </c>
    </row>
    <row r="46" customFormat="false" ht="15" hidden="false" customHeight="false" outlineLevel="0" collapsed="false">
      <c r="A46" s="2" t="s">
        <v>202</v>
      </c>
      <c r="B46" s="2"/>
      <c r="C46" s="2"/>
      <c r="D46" s="2"/>
      <c r="E46" s="2"/>
    </row>
    <row r="47" customFormat="false" ht="15" hidden="false" customHeight="false" outlineLevel="0" collapsed="false">
      <c r="A47" s="3" t="s">
        <v>203</v>
      </c>
      <c r="B47" s="4" t="n">
        <v>50</v>
      </c>
    </row>
    <row r="48" customFormat="false" ht="15" hidden="false" customHeight="false" outlineLevel="0" collapsed="false">
      <c r="A48" s="3" t="s">
        <v>204</v>
      </c>
      <c r="B48" s="4" t="n">
        <v>50</v>
      </c>
    </row>
    <row r="49" customFormat="false" ht="15" hidden="false" customHeight="false" outlineLevel="0" collapsed="false">
      <c r="A49" s="3" t="s">
        <v>188</v>
      </c>
      <c r="B49" s="4" t="n">
        <v>0</v>
      </c>
    </row>
    <row r="51" customFormat="false" ht="15" hidden="false" customHeight="false" outlineLevel="0" collapsed="false">
      <c r="A51" s="3" t="s">
        <v>205</v>
      </c>
      <c r="B51" s="9" t="n">
        <f aca="false">B48-B47</f>
        <v>0</v>
      </c>
    </row>
    <row r="52" customFormat="false" ht="15" hidden="false" customHeight="false" outlineLevel="0" collapsed="false">
      <c r="A52" s="3" t="s">
        <v>206</v>
      </c>
      <c r="B52" s="10" t="n">
        <f aca="false">IF(B51&lt;=-Constants!B77,0,IF(B51&lt;=-Constants!B78,(B51+Constants!B77)/(Constants!B77-Constants!B78),IF(B51&lt;0,1,1+MIN(B51*Constants!B79,Constants!B80))))</f>
        <v>1</v>
      </c>
    </row>
    <row r="53" customFormat="false" ht="15" hidden="false" customHeight="false" outlineLevel="0" collapsed="false">
      <c r="A53" s="3" t="s">
        <v>207</v>
      </c>
      <c r="B53" s="14" t="n">
        <f aca="false">Constants!B73*(1+Constants!B74)^(B48-1)*(1+Constants!B27)^B49/Constants!B76</f>
        <v>4.82708445361412</v>
      </c>
    </row>
    <row r="54" customFormat="false" ht="15" hidden="false" customHeight="false" outlineLevel="0" collapsed="false">
      <c r="A54" s="3" t="s">
        <v>208</v>
      </c>
      <c r="B54" s="14" t="n">
        <f aca="false">B53*B52</f>
        <v>4.82708445361412</v>
      </c>
    </row>
    <row r="56" customFormat="false" ht="15" hidden="false" customHeight="false" outlineLevel="0" collapsed="false">
      <c r="A56" s="11" t="s">
        <v>209</v>
      </c>
      <c r="B56" s="11"/>
      <c r="C56" s="11"/>
      <c r="D56" s="11"/>
      <c r="E56" s="11"/>
    </row>
  </sheetData>
  <mergeCells count="8">
    <mergeCell ref="A1:E1"/>
    <mergeCell ref="A2:E2"/>
    <mergeCell ref="A4:E4"/>
    <mergeCell ref="A19:E19"/>
    <mergeCell ref="A28:E28"/>
    <mergeCell ref="A35:E35"/>
    <mergeCell ref="A46:E46"/>
    <mergeCell ref="A56:E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2026-08-17T10:58:05Z</dcterms:created>
  <dc:creator>openpyxl</dc:creator>
  <dc:description/>
  <dc:language>en-US</dc:language>
  <cp:lastModifiedBy/>
  <dcterms:modified xsi:type="dcterms:W3CDTF">2026-08-17T10:58:05Z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