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tants" sheetId="1" state="visible" r:id="rId1"/>
    <sheet name="PlayerBuild" sheetId="2" state="visible" r:id="rId2"/>
    <sheet name="EnemyBuild" sheetId="3" state="visible" r:id="rId3"/>
    <sheet name="Calculato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8EA9DB"/>
      </patternFill>
    </fill>
    <fill>
      <patternFill patternType="solid">
        <fgColor rgb="00FFFFCC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4" borderId="0" pivotButton="0" quotePrefix="0" xfId="0"/>
    <xf numFmtId="0" fontId="5" fillId="0" borderId="0" pivotButton="0" quotePrefix="0" xfId="0"/>
    <xf numFmtId="9" fontId="4" fillId="4" borderId="0" pivotButton="0" quotePrefix="0" xfId="0"/>
    <xf numFmtId="0" fontId="6" fillId="5" borderId="0" pivotButton="0" quotePrefix="0" xfId="0"/>
    <xf numFmtId="0" fontId="7" fillId="0" borderId="0" pivotButton="0" quotePrefix="0" xfId="0"/>
    <xf numFmtId="164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46" customWidth="1" min="3" max="3"/>
  </cols>
  <sheetData>
    <row r="1" ht="22" customHeight="1">
      <c r="A1" s="1" t="inlineStr">
        <is>
          <t>TUNING CONSTANTS</t>
        </is>
      </c>
    </row>
    <row r="3">
      <c r="A3" s="2" t="inlineStr">
        <is>
          <t>Mitigation</t>
        </is>
      </c>
    </row>
    <row r="4">
      <c r="A4" s="3" t="inlineStr">
        <is>
          <t>K_DEF</t>
        </is>
      </c>
      <c r="B4" s="4" t="n">
        <v>100</v>
      </c>
      <c r="C4" s="5" t="inlineStr">
        <is>
          <t>Physical mitigation soft-cap constant. Mitigation% = DEF/(DEF+K_DEF).</t>
        </is>
      </c>
    </row>
    <row r="5">
      <c r="A5" s="3" t="inlineStr">
        <is>
          <t>K_elem</t>
        </is>
      </c>
      <c r="B5" s="4" t="n">
        <v>80</v>
      </c>
      <c r="C5" s="5" t="inlineStr">
        <is>
          <t>Elemental mitigation soft-cap constant (per element, shared value here).</t>
        </is>
      </c>
    </row>
    <row r="7">
      <c r="A7" s="2" t="inlineStr">
        <is>
          <t>Damage Variance</t>
        </is>
      </c>
    </row>
    <row r="8">
      <c r="A8" s="3" t="inlineStr">
        <is>
          <t>VarianceMin</t>
        </is>
      </c>
      <c r="B8" s="4" t="n">
        <v>0.85</v>
      </c>
      <c r="C8" s="5" t="inlineStr">
        <is>
          <t>Lower bound of per-hit random roll (±15% default).</t>
        </is>
      </c>
    </row>
    <row r="9">
      <c r="A9" s="3" t="inlineStr">
        <is>
          <t>VarianceMax</t>
        </is>
      </c>
      <c r="B9" s="4" t="n">
        <v>1.15</v>
      </c>
      <c r="C9" s="5" t="inlineStr">
        <is>
          <t>Upper bound of per-hit random roll.</t>
        </is>
      </c>
    </row>
    <row r="11">
      <c r="A11" s="2" t="inlineStr">
        <is>
          <t>Critical Hits</t>
        </is>
      </c>
    </row>
    <row r="12">
      <c r="A12" s="3" t="inlineStr">
        <is>
          <t>BaseCritChance</t>
        </is>
      </c>
      <c r="B12" s="6" t="n">
        <v>0.05</v>
      </c>
      <c r="C12" s="5" t="inlineStr">
        <is>
          <t>Crit chance at 0 LUK.</t>
        </is>
      </c>
    </row>
    <row r="13">
      <c r="A13" s="3" t="inlineStr">
        <is>
          <t>MaxCritChanceBonus</t>
        </is>
      </c>
      <c r="B13" s="6" t="n">
        <v>0.65</v>
      </c>
      <c r="C13" s="5" t="inlineStr">
        <is>
          <t>Max additional crit chance from LUK (soft-capped).</t>
        </is>
      </c>
    </row>
    <row r="14">
      <c r="A14" s="3" t="inlineStr">
        <is>
          <t>K_crit</t>
        </is>
      </c>
      <c r="B14" s="4" t="n">
        <v>300</v>
      </c>
      <c r="C14" s="5" t="inlineStr">
        <is>
          <t>LUK value for chance curve steepness. Lower = faster ramp.</t>
        </is>
      </c>
    </row>
    <row r="15">
      <c r="A15" s="3" t="inlineStr">
        <is>
          <t>BaseCritMult</t>
        </is>
      </c>
      <c r="B15" s="4" t="n">
        <v>1.5</v>
      </c>
      <c r="C15" s="5" t="inlineStr">
        <is>
          <t>Crit damage multiplier at 0 LUK.</t>
        </is>
      </c>
    </row>
    <row r="16">
      <c r="A16" s="3" t="inlineStr">
        <is>
          <t>MaxCritMultBonus</t>
        </is>
      </c>
      <c r="B16" s="4" t="n">
        <v>2.5</v>
      </c>
      <c r="C16" s="5" t="inlineStr">
        <is>
          <t>Max additional crit multiplier from LUK (soft-capped).</t>
        </is>
      </c>
    </row>
    <row r="17">
      <c r="A17" s="3" t="inlineStr">
        <is>
          <t>K_critmult</t>
        </is>
      </c>
      <c r="B17" s="4" t="n">
        <v>300</v>
      </c>
      <c r="C17" s="5" t="inlineStr">
        <is>
          <t>LUK value for multiplier curve steepness.</t>
        </is>
      </c>
    </row>
    <row r="19">
      <c r="A19" s="2" t="inlineStr">
        <is>
          <t>Elemental Type Multipliers</t>
        </is>
      </c>
    </row>
    <row r="20">
      <c r="A20" s="3" t="inlineStr">
        <is>
          <t>Weak</t>
        </is>
      </c>
      <c r="B20" s="4" t="n">
        <v>1.5</v>
      </c>
      <c r="C20" s="5" t="inlineStr">
        <is>
          <t>Damage multiplier vs an enemy weak to the element.</t>
        </is>
      </c>
    </row>
    <row r="21">
      <c r="A21" s="3" t="inlineStr">
        <is>
          <t>Neutral</t>
        </is>
      </c>
      <c r="B21" s="4" t="n">
        <v>1</v>
      </c>
      <c r="C21" s="5" t="inlineStr">
        <is>
          <t>Default, no relationship.</t>
        </is>
      </c>
    </row>
    <row r="22">
      <c r="A22" s="3" t="inlineStr">
        <is>
          <t>Resistant</t>
        </is>
      </c>
      <c r="B22" s="4" t="n">
        <v>0.5</v>
      </c>
      <c r="C22" s="5" t="inlineStr">
        <is>
          <t>Damage multiplier vs a resistant enemy.</t>
        </is>
      </c>
    </row>
    <row r="23">
      <c r="A23" s="3" t="inlineStr">
        <is>
          <t>Immune</t>
        </is>
      </c>
      <c r="B23" s="4" t="n">
        <v>0</v>
      </c>
      <c r="C23" s="5" t="inlineStr">
        <is>
          <t>Use sparingly — zeroes out damage of that element.</t>
        </is>
      </c>
    </row>
    <row r="25">
      <c r="A25" s="2" t="inlineStr">
        <is>
          <t>Reincarnation</t>
        </is>
      </c>
    </row>
    <row r="26">
      <c r="A26" s="3" t="inlineStr">
        <is>
          <t>r (power bonus/loop)</t>
        </is>
      </c>
      <c r="B26" s="6" t="n">
        <v>0.1</v>
      </c>
      <c r="C26" s="5" t="inlineStr">
        <is>
          <t>Permanent multiplier compounds as (1+r)^N.</t>
        </is>
      </c>
    </row>
    <row r="27">
      <c r="A27" s="3" t="inlineStr">
        <is>
          <t>d (difficulty growth/loop)</t>
        </is>
      </c>
      <c r="B27" s="6" t="n">
        <v>0.15</v>
      </c>
      <c r="C27" s="5" t="inlineStr">
        <is>
          <t>Enemy stat growth compounds as (1+d)^N. Keep d &gt; r.</t>
        </is>
      </c>
    </row>
    <row r="29">
      <c r="A29" s="2" t="inlineStr">
        <is>
          <t>Stat Scaling</t>
        </is>
      </c>
    </row>
    <row r="30">
      <c r="A30" s="3" t="inlineStr">
        <is>
          <t>STR_Divisor</t>
        </is>
      </c>
      <c r="B30" s="4" t="n">
        <v>100</v>
      </c>
      <c r="C30" s="5" t="inlineStr">
        <is>
          <t>Physical dmg = WeaponBase * (1 + STR/Divisor).</t>
        </is>
      </c>
    </row>
    <row r="31">
      <c r="A31" s="3" t="inlineStr">
        <is>
          <t>INT_Divisor</t>
        </is>
      </c>
      <c r="B31" s="4" t="n">
        <v>100</v>
      </c>
      <c r="C31" s="5" t="inlineStr">
        <is>
          <t>Elemental dmg = SkillBase * (1 + INT/Divisor).</t>
        </is>
      </c>
    </row>
    <row r="33">
      <c r="A33" s="2" t="inlineStr">
        <is>
          <t>Health</t>
        </is>
      </c>
    </row>
    <row r="34">
      <c r="A34" s="3" t="inlineStr">
        <is>
          <t>BaseHP</t>
        </is>
      </c>
      <c r="B34" s="4" t="n">
        <v>100</v>
      </c>
      <c r="C34" s="5" t="inlineStr">
        <is>
          <t>Flat HP everyone starts with.</t>
        </is>
      </c>
    </row>
    <row r="35">
      <c r="A35" s="3" t="inlineStr">
        <is>
          <t>HPperVIT</t>
        </is>
      </c>
      <c r="B35" s="4" t="n">
        <v>10</v>
      </c>
      <c r="C35" s="5" t="inlineStr">
        <is>
          <t>HP granted per point of total VIT.</t>
        </is>
      </c>
    </row>
  </sheetData>
  <mergeCells count="8">
    <mergeCell ref="A25:C25"/>
    <mergeCell ref="A19:C19"/>
    <mergeCell ref="A11:C11"/>
    <mergeCell ref="A33:C33"/>
    <mergeCell ref="A1:C1"/>
    <mergeCell ref="A3:C3"/>
    <mergeCell ref="A29:C29"/>
    <mergeCell ref="A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2" customWidth="1" min="4" max="4"/>
    <col width="12" customWidth="1" min="5" max="5"/>
  </cols>
  <sheetData>
    <row r="1" ht="22" customHeight="1">
      <c r="A1" s="1" t="inlineStr">
        <is>
          <t>PLAYER BUILD</t>
        </is>
      </c>
    </row>
    <row r="3">
      <c r="A3" s="3" t="inlineStr">
        <is>
          <t>Level</t>
        </is>
      </c>
      <c r="B3" s="4" t="n">
        <v>1</v>
      </c>
    </row>
    <row r="4">
      <c r="A4" s="3" t="inlineStr">
        <is>
          <t>Reincarnations (N)</t>
        </is>
      </c>
      <c r="B4" s="4" t="n">
        <v>0</v>
      </c>
    </row>
    <row r="6">
      <c r="A6" s="2" t="inlineStr">
        <is>
          <t>Core Stats</t>
        </is>
      </c>
    </row>
    <row r="7">
      <c r="A7" s="7" t="inlineStr">
        <is>
          <t>Stat</t>
        </is>
      </c>
      <c r="B7" s="7" t="inlineStr">
        <is>
          <t>Base</t>
        </is>
      </c>
      <c r="C7" s="7" t="inlineStr">
        <is>
          <t>Allocated Points</t>
        </is>
      </c>
      <c r="D7" s="7" t="inlineStr">
        <is>
          <t>Gear Bonus</t>
        </is>
      </c>
      <c r="E7" s="7" t="inlineStr">
        <is>
          <t>Total</t>
        </is>
      </c>
    </row>
    <row r="8">
      <c r="A8" s="3" t="inlineStr">
        <is>
          <t>STR</t>
        </is>
      </c>
      <c r="B8" s="4" t="n">
        <v>5</v>
      </c>
      <c r="C8" s="4" t="n">
        <v>0</v>
      </c>
      <c r="D8" s="4" t="n">
        <v>0</v>
      </c>
      <c r="E8" s="8">
        <f>SUM(B8:D8)</f>
        <v/>
      </c>
    </row>
    <row r="9">
      <c r="A9" s="3" t="inlineStr">
        <is>
          <t>INT</t>
        </is>
      </c>
      <c r="B9" s="4" t="n">
        <v>5</v>
      </c>
      <c r="C9" s="4" t="n">
        <v>0</v>
      </c>
      <c r="D9" s="4" t="n">
        <v>0</v>
      </c>
      <c r="E9" s="8">
        <f>SUM(B9:D9)</f>
        <v/>
      </c>
    </row>
    <row r="10">
      <c r="A10" s="3" t="inlineStr">
        <is>
          <t>VIT</t>
        </is>
      </c>
      <c r="B10" s="4" t="n">
        <v>10</v>
      </c>
      <c r="C10" s="4" t="n">
        <v>0</v>
      </c>
      <c r="D10" s="4" t="n">
        <v>0</v>
      </c>
      <c r="E10" s="8">
        <f>SUM(B10:D10)</f>
        <v/>
      </c>
    </row>
    <row r="11">
      <c r="A11" s="3" t="inlineStr">
        <is>
          <t>DEF</t>
        </is>
      </c>
      <c r="B11" s="4" t="n">
        <v>5</v>
      </c>
      <c r="C11" s="4" t="n">
        <v>0</v>
      </c>
      <c r="D11" s="4" t="n">
        <v>0</v>
      </c>
      <c r="E11" s="8">
        <f>SUM(B11:D11)</f>
        <v/>
      </c>
    </row>
    <row r="12">
      <c r="A12" s="3" t="inlineStr">
        <is>
          <t>AGI</t>
        </is>
      </c>
      <c r="B12" s="4" t="n">
        <v>5</v>
      </c>
      <c r="C12" s="4" t="n">
        <v>0</v>
      </c>
      <c r="D12" s="4" t="n">
        <v>0</v>
      </c>
      <c r="E12" s="8">
        <f>SUM(B12:D12)</f>
        <v/>
      </c>
    </row>
    <row r="13">
      <c r="A13" s="3" t="inlineStr">
        <is>
          <t>LUK</t>
        </is>
      </c>
      <c r="B13" s="4" t="n">
        <v>5</v>
      </c>
      <c r="C13" s="4" t="n">
        <v>0</v>
      </c>
      <c r="D13" s="4" t="n">
        <v>0</v>
      </c>
      <c r="E13" s="8">
        <f>SUM(B13:D13)</f>
        <v/>
      </c>
    </row>
    <row r="15">
      <c r="A15" s="2" t="inlineStr">
        <is>
          <t>Elemental Resistances</t>
        </is>
      </c>
    </row>
    <row r="16">
      <c r="A16" s="7" t="inlineStr">
        <is>
          <t>Element</t>
        </is>
      </c>
      <c r="B16" s="7" t="inlineStr">
        <is>
          <t>Base</t>
        </is>
      </c>
      <c r="C16" s="7" t="inlineStr">
        <is>
          <t>Allocated Points</t>
        </is>
      </c>
      <c r="D16" s="7" t="inlineStr">
        <is>
          <t>Gear Bonus</t>
        </is>
      </c>
      <c r="E16" s="7" t="inlineStr">
        <is>
          <t>Total</t>
        </is>
      </c>
    </row>
    <row r="17">
      <c r="A17" s="3" t="inlineStr">
        <is>
          <t>Fire</t>
        </is>
      </c>
      <c r="B17" s="4" t="n">
        <v>0</v>
      </c>
      <c r="C17" s="4" t="n">
        <v>0</v>
      </c>
      <c r="D17" s="4" t="n">
        <v>0</v>
      </c>
      <c r="E17" s="8">
        <f>SUM(B17:D17)</f>
        <v/>
      </c>
    </row>
    <row r="18">
      <c r="A18" s="3" t="inlineStr">
        <is>
          <t>Ice</t>
        </is>
      </c>
      <c r="B18" s="4" t="n">
        <v>0</v>
      </c>
      <c r="C18" s="4" t="n">
        <v>0</v>
      </c>
      <c r="D18" s="4" t="n">
        <v>0</v>
      </c>
      <c r="E18" s="8">
        <f>SUM(B18:D18)</f>
        <v/>
      </c>
    </row>
    <row r="19">
      <c r="A19" s="3" t="inlineStr">
        <is>
          <t>Lightning</t>
        </is>
      </c>
      <c r="B19" s="4" t="n">
        <v>0</v>
      </c>
      <c r="C19" s="4" t="n">
        <v>0</v>
      </c>
      <c r="D19" s="4" t="n">
        <v>0</v>
      </c>
      <c r="E19" s="8">
        <f>SUM(B19:D19)</f>
        <v/>
      </c>
    </row>
    <row r="20">
      <c r="A20" s="3" t="inlineStr">
        <is>
          <t>Poison</t>
        </is>
      </c>
      <c r="B20" s="4" t="n">
        <v>0</v>
      </c>
      <c r="C20" s="4" t="n">
        <v>0</v>
      </c>
      <c r="D20" s="4" t="n">
        <v>0</v>
      </c>
      <c r="E20" s="8">
        <f>SUM(B20:D20)</f>
        <v/>
      </c>
    </row>
    <row r="22">
      <c r="A22" s="2" t="inlineStr">
        <is>
          <t>Loadout &amp; Derived</t>
        </is>
      </c>
    </row>
    <row r="23">
      <c r="A23" s="3" t="inlineStr">
        <is>
          <t>Weapon Base Damage (physical)</t>
        </is>
      </c>
      <c r="B23" s="4" t="n">
        <v>20</v>
      </c>
    </row>
    <row r="24">
      <c r="A24" s="3" t="inlineStr">
        <is>
          <t>Skill Base Damage (elemental)</t>
        </is>
      </c>
      <c r="B24" s="4" t="n">
        <v>20</v>
      </c>
    </row>
    <row r="25">
      <c r="A25" s="3" t="inlineStr">
        <is>
          <t>Max HP</t>
        </is>
      </c>
      <c r="B25" s="8">
        <f>Constants!B34+E10*Constants!B35</f>
        <v/>
      </c>
    </row>
    <row r="26">
      <c r="A26" s="3" t="inlineStr">
        <is>
          <t>Prestige Multiplier</t>
        </is>
      </c>
      <c r="B26" s="8">
        <f>(1+Constants!B26)^B4</f>
        <v/>
      </c>
    </row>
    <row r="28">
      <c r="A28" s="5" t="inlineStr">
        <is>
          <t>Legend: yellow cells are inputs to edit. Adjust Level, Reincarnations, stat points, and loadout here.</t>
        </is>
      </c>
    </row>
  </sheetData>
  <mergeCells count="5">
    <mergeCell ref="A15:E15"/>
    <mergeCell ref="A28:E28"/>
    <mergeCell ref="A1:E1"/>
    <mergeCell ref="A6:E6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 ht="22" customHeight="1">
      <c r="A1" s="1" t="inlineStr">
        <is>
          <t>ENEMY BUILD</t>
        </is>
      </c>
    </row>
    <row r="3">
      <c r="A3" s="2" t="inlineStr">
        <is>
          <t>Base Stats (Zone / Encounter Design)</t>
        </is>
      </c>
    </row>
    <row r="4">
      <c r="A4" s="3" t="inlineStr">
        <is>
          <t>Zone Tier / Loop (N)</t>
        </is>
      </c>
      <c r="B4" s="4" t="n">
        <v>0</v>
      </c>
    </row>
    <row r="5">
      <c r="A5" s="3" t="inlineStr">
        <is>
          <t>Base HP</t>
        </is>
      </c>
      <c r="B5" s="4" t="n">
        <v>100</v>
      </c>
    </row>
    <row r="6">
      <c r="A6" s="3" t="inlineStr">
        <is>
          <t>Base Physical DEF</t>
        </is>
      </c>
      <c r="B6" s="4" t="n">
        <v>20</v>
      </c>
    </row>
    <row r="7">
      <c r="A7" s="3" t="inlineStr">
        <is>
          <t>Base Elemental DEF</t>
        </is>
      </c>
      <c r="B7" s="4" t="n">
        <v>15</v>
      </c>
    </row>
    <row r="8">
      <c r="A8" s="3" t="inlineStr">
        <is>
          <t>Base Attack</t>
        </is>
      </c>
      <c r="B8" s="4" t="n">
        <v>15</v>
      </c>
    </row>
    <row r="9">
      <c r="A9" s="3" t="inlineStr">
        <is>
          <t>Attack Element</t>
        </is>
      </c>
      <c r="B9" s="4" t="inlineStr">
        <is>
          <t>Physical</t>
        </is>
      </c>
    </row>
    <row r="10">
      <c r="A10" s="3" t="inlineStr">
        <is>
          <t>Weakness Category (vs player's element)</t>
        </is>
      </c>
      <c r="B10" s="4" t="inlineStr">
        <is>
          <t>Neutral</t>
        </is>
      </c>
    </row>
    <row r="12">
      <c r="A12" s="2" t="inlineStr">
        <is>
          <t>Scaled Stats (after difficulty growth)</t>
        </is>
      </c>
    </row>
    <row r="13">
      <c r="A13" s="3" t="inlineStr">
        <is>
          <t>Difficulty Multiplier</t>
        </is>
      </c>
      <c r="B13" s="8">
        <f>(1+Constants!B27)^B4</f>
        <v/>
      </c>
    </row>
    <row r="14">
      <c r="A14" s="3" t="inlineStr">
        <is>
          <t>Scaled HP</t>
        </is>
      </c>
      <c r="B14" s="8">
        <f>B5*B13</f>
        <v/>
      </c>
    </row>
    <row r="15">
      <c r="A15" s="3" t="inlineStr">
        <is>
          <t>Scaled Physical DEF</t>
        </is>
      </c>
      <c r="B15" s="8">
        <f>B6*B13</f>
        <v/>
      </c>
    </row>
    <row r="16">
      <c r="A16" s="3" t="inlineStr">
        <is>
          <t>Scaled Elemental DEF</t>
        </is>
      </c>
      <c r="B16" s="8">
        <f>B7*B13</f>
        <v/>
      </c>
    </row>
    <row r="17">
      <c r="A17" s="3" t="inlineStr">
        <is>
          <t>Scaled Attack</t>
        </is>
      </c>
      <c r="B17" s="8">
        <f>B8*B13</f>
        <v/>
      </c>
    </row>
    <row r="19">
      <c r="A19" s="5" t="inlineStr">
        <is>
          <t>Legend: yellow cells are inputs. Set base enemy stats for a zone; scaling applies automatically per reincarnation loop.</t>
        </is>
      </c>
    </row>
  </sheetData>
  <mergeCells count="4">
    <mergeCell ref="A19:B19"/>
    <mergeCell ref="A3:B3"/>
    <mergeCell ref="A1:B1"/>
    <mergeCell ref="A12:B12"/>
  </mergeCells>
  <dataValidations count="2">
    <dataValidation sqref="B9" showDropDown="0" showInputMessage="0" showErrorMessage="0" allowBlank="0" type="list">
      <formula1>"Physical,Fire,Ice,Lightning,Poison"</formula1>
    </dataValidation>
    <dataValidation sqref="B10" showDropDown="0" showInputMessage="0" showErrorMessage="0" allowBlank="0" type="list">
      <formula1>"Weak,Neutral,Resistant,Immune"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 ht="22" customHeight="1">
      <c r="A1" s="1" t="inlineStr">
        <is>
          <t>DAMAGE &amp; TTK CALCULATOR</t>
        </is>
      </c>
    </row>
    <row r="3">
      <c r="A3" s="2" t="inlineStr">
        <is>
          <t>Physical Attack — Player vs Enemy</t>
        </is>
      </c>
    </row>
    <row r="4">
      <c r="A4" s="3" t="inlineStr">
        <is>
          <t>Raw Damage</t>
        </is>
      </c>
      <c r="B4" s="8">
        <f>PlayerBuild!B23*(1+PlayerBuild!E8/Constants!B30)</f>
        <v/>
      </c>
    </row>
    <row r="5">
      <c r="A5" s="3" t="inlineStr">
        <is>
          <t>Mitigation %</t>
        </is>
      </c>
      <c r="B5" s="9">
        <f>EnemyBuild!B15/(EnemyBuild!B15+Constants!B4)</f>
        <v/>
      </c>
    </row>
    <row r="6">
      <c r="A6" s="3" t="inlineStr">
        <is>
          <t>Mitigated Damage</t>
        </is>
      </c>
      <c r="B6" s="8">
        <f>B4*(1-B5)</f>
        <v/>
      </c>
    </row>
    <row r="7">
      <c r="A7" s="3" t="inlineStr">
        <is>
          <t>Type Multiplier</t>
        </is>
      </c>
      <c r="B7" s="8">
        <f>IF(EnemyBuild!B10="Weak",Constants!B20,IF(EnemyBuild!B10="Resistant",Constants!B22,IF(EnemyBuild!B10="Immune",Constants!B23,Constants!B21)))</f>
        <v/>
      </c>
    </row>
    <row r="8">
      <c r="A8" s="3" t="inlineStr">
        <is>
          <t>Typed Damage</t>
        </is>
      </c>
      <c r="B8" s="8">
        <f>B6*B7</f>
        <v/>
      </c>
    </row>
    <row r="9">
      <c r="A9" s="3" t="inlineStr">
        <is>
          <t>Crit Chance %</t>
        </is>
      </c>
      <c r="B9" s="9">
        <f>Constants!B12+(PlayerBuild!E13/(PlayerBuild!E13+Constants!B14))*Constants!B13</f>
        <v/>
      </c>
    </row>
    <row r="10">
      <c r="A10" s="3" t="inlineStr">
        <is>
          <t>Crit Multiplier</t>
        </is>
      </c>
      <c r="B10" s="8">
        <f>Constants!B15+(PlayerBuild!E13/(PlayerBuild!E13+Constants!B17))*Constants!B16</f>
        <v/>
      </c>
    </row>
    <row r="11">
      <c r="A11" s="3" t="inlineStr">
        <is>
          <t>Average Damage (crit-weighted)</t>
        </is>
      </c>
      <c r="B11" s="8">
        <f>B8*(1+B9*(B10-1))</f>
        <v/>
      </c>
    </row>
    <row r="12">
      <c r="A12" s="3" t="inlineStr">
        <is>
          <t>Prestige Multiplier</t>
        </is>
      </c>
      <c r="B12" s="8">
        <f>PlayerBuild!B26</f>
        <v/>
      </c>
    </row>
    <row r="13">
      <c r="A13" s="3" t="inlineStr">
        <is>
          <t>Final Average Damage / Hit</t>
        </is>
      </c>
      <c r="B13" s="8">
        <f>B11*B12</f>
        <v/>
      </c>
    </row>
    <row r="14">
      <c r="A14" s="3" t="inlineStr">
        <is>
          <t>Enemy HP (scaled)</t>
        </is>
      </c>
      <c r="B14" s="8">
        <f>EnemyBuild!B14</f>
        <v/>
      </c>
    </row>
    <row r="15">
      <c r="A15" s="3" t="inlineStr">
        <is>
          <t>Hits to Kill (Physical)</t>
        </is>
      </c>
      <c r="B15" s="8">
        <f>ROUNDUP(B14/B13,0)</f>
        <v/>
      </c>
    </row>
    <row r="16">
      <c r="A16" s="3" t="inlineStr">
        <is>
          <t>Target Check</t>
        </is>
      </c>
      <c r="B16" s="10">
        <f>IF(AND(B15&gt;=4,B15&lt;=8),"In target range (4-8)","Outside target range (4-8)")</f>
        <v/>
      </c>
    </row>
    <row r="18">
      <c r="A18" s="2" t="inlineStr">
        <is>
          <t>Elemental Attack — Player vs Enemy</t>
        </is>
      </c>
    </row>
    <row r="19">
      <c r="A19" s="3" t="inlineStr">
        <is>
          <t>Raw Damage</t>
        </is>
      </c>
      <c r="B19" s="8">
        <f>PlayerBuild!B24*(1+PlayerBuild!E9/Constants!B31)</f>
        <v/>
      </c>
    </row>
    <row r="20">
      <c r="A20" s="3" t="inlineStr">
        <is>
          <t>Mitigation %</t>
        </is>
      </c>
      <c r="B20" s="9">
        <f>EnemyBuild!B16/(EnemyBuild!B16+Constants!B5)</f>
        <v/>
      </c>
    </row>
    <row r="21">
      <c r="A21" s="3" t="inlineStr">
        <is>
          <t>Mitigated Damage</t>
        </is>
      </c>
      <c r="B21" s="8">
        <f>B19*(1-B20)</f>
        <v/>
      </c>
    </row>
    <row r="22">
      <c r="A22" s="3" t="inlineStr">
        <is>
          <t>Type Multiplier</t>
        </is>
      </c>
      <c r="B22" s="8">
        <f>B7</f>
        <v/>
      </c>
    </row>
    <row r="23">
      <c r="A23" s="3" t="inlineStr">
        <is>
          <t>Typed Damage</t>
        </is>
      </c>
      <c r="B23" s="8">
        <f>B21*B22</f>
        <v/>
      </c>
    </row>
    <row r="24">
      <c r="A24" s="3" t="inlineStr">
        <is>
          <t>Crit Chance %</t>
        </is>
      </c>
      <c r="B24" s="9">
        <f>B9</f>
        <v/>
      </c>
    </row>
    <row r="25">
      <c r="A25" s="3" t="inlineStr">
        <is>
          <t>Crit Multiplier</t>
        </is>
      </c>
      <c r="B25" s="8">
        <f>B10</f>
        <v/>
      </c>
    </row>
    <row r="26">
      <c r="A26" s="3" t="inlineStr">
        <is>
          <t>Average Damage (crit-weighted)</t>
        </is>
      </c>
      <c r="B26" s="8">
        <f>B23*(1+B24*(B25-1))</f>
        <v/>
      </c>
    </row>
    <row r="27">
      <c r="A27" s="3" t="inlineStr">
        <is>
          <t>Prestige Multiplier</t>
        </is>
      </c>
      <c r="B27" s="8">
        <f>B12</f>
        <v/>
      </c>
    </row>
    <row r="28">
      <c r="A28" s="3" t="inlineStr">
        <is>
          <t>Final Average Damage / Hit</t>
        </is>
      </c>
      <c r="B28" s="8">
        <f>B26*B27</f>
        <v/>
      </c>
    </row>
    <row r="29">
      <c r="A29" s="3" t="inlineStr">
        <is>
          <t>Enemy HP (scaled)</t>
        </is>
      </c>
      <c r="B29" s="8">
        <f>B14</f>
        <v/>
      </c>
    </row>
    <row r="30">
      <c r="A30" s="3" t="inlineStr">
        <is>
          <t>Hits to Kill (Elemental)</t>
        </is>
      </c>
      <c r="B30" s="8">
        <f>ROUNDUP(B29/B28,0)</f>
        <v/>
      </c>
    </row>
    <row r="31">
      <c r="A31" s="3" t="inlineStr">
        <is>
          <t>Target Check</t>
        </is>
      </c>
      <c r="B31" s="10">
        <f>IF(AND(B30&gt;=4,B30&lt;=8),"In target range (4-8)","Outside target range (4-8)")</f>
        <v/>
      </c>
    </row>
    <row r="33">
      <c r="A33" s="2" t="inlineStr">
        <is>
          <t>Enemy Attack — Enemy vs Player</t>
        </is>
      </c>
    </row>
    <row r="34">
      <c r="A34" s="3" t="inlineStr">
        <is>
          <t>Enemy Attack Element</t>
        </is>
      </c>
      <c r="B34" s="8">
        <f>EnemyBuild!B9</f>
        <v/>
      </c>
    </row>
    <row r="35">
      <c r="A35" s="3" t="inlineStr">
        <is>
          <t>Player Mitigating Stat</t>
        </is>
      </c>
      <c r="B35" s="8">
        <f>IF(B34="Physical",PlayerBuild!E11,IF(B34="Fire",PlayerBuild!E17,IF(B34="Ice",PlayerBuild!E18,IF(B34="Lightning",PlayerBuild!E19,IF(B34="Poison",PlayerBuild!E20,PlayerBuild!E11)))))</f>
        <v/>
      </c>
    </row>
    <row r="36">
      <c r="A36" s="3" t="inlineStr">
        <is>
          <t>Mitigation Constant Used</t>
        </is>
      </c>
      <c r="B36" s="8">
        <f>IF(B34="Physical",Constants!B4,Constants!B5)</f>
        <v/>
      </c>
    </row>
    <row r="37">
      <c r="A37" s="3" t="inlineStr">
        <is>
          <t>Mitigation %</t>
        </is>
      </c>
      <c r="B37" s="9">
        <f>B35/(B35+B36)</f>
        <v/>
      </c>
    </row>
    <row r="38">
      <c r="A38" s="3" t="inlineStr">
        <is>
          <t>Scaled Enemy Attack</t>
        </is>
      </c>
      <c r="B38" s="8">
        <f>EnemyBuild!B17</f>
        <v/>
      </c>
    </row>
    <row r="39">
      <c r="A39" s="3" t="inlineStr">
        <is>
          <t>Damage Taken per Hit</t>
        </is>
      </c>
      <c r="B39" s="8">
        <f>B38*(1-B37)</f>
        <v/>
      </c>
    </row>
    <row r="40">
      <c r="A40" s="3" t="inlineStr">
        <is>
          <t>Player Max HP</t>
        </is>
      </c>
      <c r="B40" s="8">
        <f>PlayerBuild!B25</f>
        <v/>
      </c>
    </row>
    <row r="41">
      <c r="A41" s="3" t="inlineStr">
        <is>
          <t>Hits to Die</t>
        </is>
      </c>
      <c r="B41" s="8">
        <f>ROUNDUP(B40/B39,0)</f>
        <v/>
      </c>
    </row>
    <row r="42">
      <c r="A42" s="3" t="inlineStr">
        <is>
          <t>Target Check</t>
        </is>
      </c>
      <c r="B42" s="10">
        <f>IF(B41&gt;=10,"Forgiving (10+ hits)","Below target (&lt;10 hits)")</f>
        <v/>
      </c>
    </row>
    <row r="44">
      <c r="A44" s="5" t="inlineStr">
        <is>
          <t>Note: this calculator shows average-case damage (no per-hit variance) for TTK planning. In-game, apply the ±variance roll (Constants!B8:B9) on top of each hit.</t>
        </is>
      </c>
    </row>
  </sheetData>
  <mergeCells count="5">
    <mergeCell ref="A33:B33"/>
    <mergeCell ref="A44:B44"/>
    <mergeCell ref="A1:B1"/>
    <mergeCell ref="A18:B18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2026-08-11T14:54:53Z</dcterms:created>
  <dcterms:modified xsi:type="dcterms:W3CDTF">2026-08-11T14:54:53Z</dcterms:modified>
</cp:coreProperties>
</file>