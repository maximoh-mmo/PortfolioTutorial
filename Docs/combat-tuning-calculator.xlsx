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stants" sheetId="1" state="visible" r:id="rId1"/>
    <sheet name="GearTiers" sheetId="2" state="visible" r:id="rId2"/>
    <sheet name="PlayerBuild" sheetId="3" state="visible" r:id="rId3"/>
    <sheet name="EnemyBuild" sheetId="4" state="visible" r:id="rId4"/>
    <sheet name="Calculator" sheetId="5" state="visible" r:id="rId5"/>
    <sheet name="Leveling" sheetId="6" state="visible" r:id="rId6"/>
    <sheet name="ProgressionCurve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"/>
    <numFmt numFmtId="167" formatCode="0.0&quot;x&quot;"/>
    <numFmt numFmtId="168" formatCode="0.0&quot;s&quot;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b val="1"/>
      <color rgb="FFFFFFFF"/>
      <sz val="11"/>
    </font>
    <font>
      <name val="Arial"/>
      <sz val="10"/>
    </font>
    <font>
      <name val="Arial"/>
      <color rgb="FF0000FF"/>
      <sz val="10"/>
    </font>
    <font>
      <name val="Arial"/>
      <i val="1"/>
      <sz val="9"/>
    </font>
    <font>
      <name val="Arial"/>
      <b val="1"/>
      <color rgb="FFFFFFFF"/>
      <sz val="14"/>
    </font>
    <font>
      <name val="Arial"/>
      <i val="1"/>
      <sz val="10"/>
    </font>
    <font>
      <name val="Arial"/>
      <b val="1"/>
      <sz val="10"/>
    </font>
    <font>
      <name val="Arial"/>
      <b val="1"/>
      <sz val="9"/>
    </font>
    <font>
      <name val="Arial"/>
      <b val="1"/>
      <color rgb="FFC00000"/>
      <sz val="10"/>
    </font>
    <font>
      <name val="Arial"/>
      <b val="1"/>
      <color rgb="FFFFFFFF"/>
      <sz val="10"/>
    </font>
    <font>
      <name val="Arial"/>
      <b val="1"/>
      <color rgb="FF1F4E79"/>
      <sz val="10"/>
    </font>
  </fonts>
  <fills count="13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8EA9DB"/>
        <bgColor rgb="FF969696"/>
      </patternFill>
    </fill>
    <fill>
      <patternFill patternType="solid">
        <fgColor rgb="FFFFFF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rgb="FFFFFFCC"/>
      </patternFill>
    </fill>
    <fill>
      <patternFill patternType="solid">
        <fgColor rgb="FFD9E1F2"/>
        <bgColor rgb="FFD9E1F2"/>
      </patternFill>
    </fill>
    <fill>
      <patternFill patternType="solid">
        <fgColor rgb="FF41719C"/>
        <bgColor rgb="FF41719C"/>
      </patternFill>
    </fill>
    <fill>
      <patternFill patternType="solid">
        <fgColor rgb="FF5B9BD5"/>
        <bgColor rgb="FF5B9BD5"/>
      </patternFill>
    </fill>
    <fill>
      <patternFill patternType="solid">
        <fgColor rgb="FF1F4E79"/>
        <bgColor rgb="FF1F4E79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7" fillId="4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7" fillId="4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11" fillId="6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4" fillId="0" borderId="0" pivotButton="0" quotePrefix="0" xfId="0"/>
    <xf numFmtId="0" fontId="15" fillId="6" borderId="0" pivotButton="0" quotePrefix="0" xfId="0"/>
    <xf numFmtId="0" fontId="16" fillId="0" borderId="0" pivotButton="0" quotePrefix="0" xfId="0"/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center"/>
    </xf>
    <xf numFmtId="0" fontId="18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7" fillId="0" borderId="0" pivotButton="0" quotePrefix="0" xfId="0"/>
    <xf numFmtId="0" fontId="11" fillId="6" borderId="0" applyAlignment="1" pivotButton="0" quotePrefix="0" xfId="0">
      <alignment horizontal="general" vertical="bottom"/>
    </xf>
    <xf numFmtId="0" fontId="17" fillId="8" borderId="0" applyAlignment="1" pivotButton="0" quotePrefix="0" xfId="0">
      <alignment horizontal="right"/>
    </xf>
    <xf numFmtId="0" fontId="13" fillId="7" borderId="0" applyAlignment="1" pivotButton="0" quotePrefix="0" xfId="0">
      <alignment horizontal="right"/>
    </xf>
    <xf numFmtId="0" fontId="12" fillId="4" borderId="0" applyAlignment="1" pivotButton="0" quotePrefix="0" xfId="0">
      <alignment horizontal="right"/>
    </xf>
    <xf numFmtId="0" fontId="10" fillId="0" borderId="0" applyAlignment="1" pivotButton="0" quotePrefix="0" xfId="0">
      <alignment horizontal="general" vertical="bottom"/>
    </xf>
    <xf numFmtId="9" fontId="13" fillId="7" borderId="0" applyAlignment="1" pivotButton="0" quotePrefix="0" xfId="0">
      <alignment horizontal="right"/>
    </xf>
    <xf numFmtId="0" fontId="12" fillId="4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center"/>
    </xf>
    <xf numFmtId="0" fontId="20" fillId="9" borderId="0" applyAlignment="1" pivotButton="0" quotePrefix="0" xfId="0">
      <alignment horizontal="center"/>
    </xf>
    <xf numFmtId="0" fontId="20" fillId="10" borderId="0" applyAlignment="1" pivotButton="0" quotePrefix="0" xfId="0">
      <alignment horizontal="center"/>
    </xf>
    <xf numFmtId="0" fontId="20" fillId="11" borderId="0" applyAlignment="1" pivotButton="0" quotePrefix="0" xfId="0">
      <alignment horizontal="center"/>
    </xf>
    <xf numFmtId="0" fontId="20" fillId="12" borderId="0" applyAlignment="1" pivotButton="0" quotePrefix="0" xfId="0">
      <alignment horizontal="center"/>
    </xf>
    <xf numFmtId="0" fontId="18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9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7" min="1" max="1"/>
    <col width="12" customWidth="1" style="17" min="2" max="2"/>
    <col width="46" customWidth="1" style="17" min="3" max="3"/>
  </cols>
  <sheetData>
    <row r="1" ht="21.75" customHeight="1" s="18">
      <c r="A1" s="19" t="inlineStr">
        <is>
          <t>TUNING CONSTANTS</t>
        </is>
      </c>
    </row>
    <row r="3" ht="15" customHeight="1" s="18">
      <c r="A3" s="20" t="inlineStr">
        <is>
          <t>Mitigation</t>
        </is>
      </c>
    </row>
    <row r="4" ht="15" customHeight="1" s="18">
      <c r="A4" s="21" t="inlineStr">
        <is>
          <t>K_DEF</t>
        </is>
      </c>
      <c r="B4" s="22" t="n">
        <v>100</v>
      </c>
      <c r="C4" s="23" t="inlineStr">
        <is>
          <t>Physical mitigation soft-cap. Mitigation% = DEF/(DEF+K_DEF).</t>
        </is>
      </c>
    </row>
    <row r="5" ht="15" customHeight="1" s="18">
      <c r="A5" s="21" t="inlineStr">
        <is>
          <t>K_elem</t>
        </is>
      </c>
      <c r="B5" s="22" t="n">
        <v>80</v>
      </c>
      <c r="C5" s="23" t="inlineStr">
        <is>
          <t>Elemental mitigation soft-cap (shared across elements).</t>
        </is>
      </c>
    </row>
    <row r="7" ht="15" customHeight="1" s="18">
      <c r="A7" s="20" t="inlineStr">
        <is>
          <t>Damage Variance</t>
        </is>
      </c>
    </row>
    <row r="8" ht="15" customHeight="1" s="18">
      <c r="A8" s="21" t="inlineStr">
        <is>
          <t>VarianceMin</t>
        </is>
      </c>
      <c r="B8" s="22" t="n">
        <v>0.85</v>
      </c>
    </row>
    <row r="9" ht="15" customHeight="1" s="18">
      <c r="A9" s="21" t="inlineStr">
        <is>
          <t>VarianceMax</t>
        </is>
      </c>
      <c r="B9" s="22" t="n">
        <v>1.15</v>
      </c>
    </row>
    <row r="11" ht="15" customHeight="1" s="18">
      <c r="A11" s="20" t="inlineStr">
        <is>
          <t>Critical Hits</t>
        </is>
      </c>
    </row>
    <row r="12" ht="15" customHeight="1" s="18">
      <c r="A12" s="21" t="inlineStr">
        <is>
          <t>BaseCritChance</t>
        </is>
      </c>
      <c r="B12" s="24" t="n">
        <v>0.05</v>
      </c>
    </row>
    <row r="13" ht="15" customHeight="1" s="18">
      <c r="A13" s="21" t="inlineStr">
        <is>
          <t>MaxCritChanceBonus</t>
        </is>
      </c>
      <c r="B13" s="24" t="n">
        <v>0.65</v>
      </c>
    </row>
    <row r="14" ht="15" customHeight="1" s="18">
      <c r="A14" s="21" t="inlineStr">
        <is>
          <t>K_crit</t>
        </is>
      </c>
      <c r="B14" s="22" t="n">
        <v>300</v>
      </c>
    </row>
    <row r="15" ht="15" customHeight="1" s="18">
      <c r="A15" s="21" t="inlineStr">
        <is>
          <t>BaseCritMult</t>
        </is>
      </c>
      <c r="B15" s="22" t="n">
        <v>1.5</v>
      </c>
    </row>
    <row r="16" ht="15" customHeight="1" s="18">
      <c r="A16" s="21" t="inlineStr">
        <is>
          <t>MaxCritMultBonus</t>
        </is>
      </c>
      <c r="B16" s="22" t="n">
        <v>2.5</v>
      </c>
    </row>
    <row r="17" ht="15" customHeight="1" s="18">
      <c r="A17" s="21" t="inlineStr">
        <is>
          <t>K_critmult</t>
        </is>
      </c>
      <c r="B17" s="22" t="n">
        <v>300</v>
      </c>
    </row>
    <row r="19" ht="15" customHeight="1" s="18">
      <c r="A19" s="20" t="inlineStr">
        <is>
          <t>Elemental Type Multipliers</t>
        </is>
      </c>
    </row>
    <row r="20" ht="15" customHeight="1" s="18">
      <c r="A20" s="21" t="inlineStr">
        <is>
          <t>Weak</t>
        </is>
      </c>
      <c r="B20" s="22" t="n">
        <v>1.5</v>
      </c>
    </row>
    <row r="21" ht="15" customHeight="1" s="18">
      <c r="A21" s="21" t="inlineStr">
        <is>
          <t>Neutral</t>
        </is>
      </c>
      <c r="B21" s="22" t="n">
        <v>1</v>
      </c>
    </row>
    <row r="22" ht="15" customHeight="1" s="18">
      <c r="A22" s="21" t="inlineStr">
        <is>
          <t>Resistant</t>
        </is>
      </c>
      <c r="B22" s="22" t="n">
        <v>0.5</v>
      </c>
    </row>
    <row r="23" ht="15" customHeight="1" s="18">
      <c r="A23" s="21" t="inlineStr">
        <is>
          <t>Immune</t>
        </is>
      </c>
      <c r="B23" s="22" t="n">
        <v>0</v>
      </c>
    </row>
    <row r="25" ht="15" customHeight="1" s="18">
      <c r="A25" s="20" t="inlineStr">
        <is>
          <t>Reincarnation / Difficulty</t>
        </is>
      </c>
    </row>
    <row r="26" ht="15" customHeight="1" s="18">
      <c r="A26" s="21" t="inlineStr">
        <is>
          <t>r (player power bonus/loop)</t>
        </is>
      </c>
      <c r="B26" s="24" t="n">
        <v>0.1</v>
      </c>
    </row>
    <row r="27" ht="15" customHeight="1" s="18">
      <c r="A27" s="21" t="inlineStr">
        <is>
          <t>d (enemy difficulty growth/loop)</t>
        </is>
      </c>
      <c r="B27" s="24" t="n">
        <v>0.15</v>
      </c>
    </row>
    <row r="29" ht="15" customHeight="1" s="18">
      <c r="A29" s="20" t="inlineStr">
        <is>
          <t>Stat Scaling</t>
        </is>
      </c>
    </row>
    <row r="30" ht="15" customHeight="1" s="18">
      <c r="A30" s="21" t="inlineStr">
        <is>
          <t>STR_Divisor</t>
        </is>
      </c>
      <c r="B30" s="22" t="n">
        <v>100</v>
      </c>
    </row>
    <row r="31" ht="15" customHeight="1" s="18">
      <c r="A31" s="21" t="inlineStr">
        <is>
          <t>INT_Divisor</t>
        </is>
      </c>
      <c r="B31" s="22" t="n">
        <v>100</v>
      </c>
    </row>
    <row r="33" ht="15" customHeight="1" s="18">
      <c r="A33" s="20" t="inlineStr">
        <is>
          <t>Health</t>
        </is>
      </c>
    </row>
    <row r="34" ht="15" customHeight="1" s="18">
      <c r="A34" s="21" t="inlineStr">
        <is>
          <t>BaseHP</t>
        </is>
      </c>
      <c r="B34" s="22" t="n">
        <v>100</v>
      </c>
    </row>
    <row r="35" ht="15" customHeight="1" s="18">
      <c r="A35" s="21" t="inlineStr">
        <is>
          <t>HPperVIT</t>
        </is>
      </c>
      <c r="B35" s="22" t="n">
        <v>10</v>
      </c>
    </row>
    <row r="37" ht="15" customHeight="1" s="18">
      <c r="A37" s="20" t="inlineStr">
        <is>
          <t>Weapon Archetypes — Base Cooldown (sec)</t>
        </is>
      </c>
    </row>
    <row r="38" ht="15" customHeight="1" s="18">
      <c r="A38" s="25" t="inlineStr">
        <is>
          <t>Weapon</t>
        </is>
      </c>
      <c r="B38" s="25" t="inlineStr">
        <is>
          <t>Base Cooldown</t>
        </is>
      </c>
    </row>
    <row r="39" ht="15" customHeight="1" s="18">
      <c r="A39" s="21" t="inlineStr">
        <is>
          <t>Dagger</t>
        </is>
      </c>
      <c r="B39" s="22" t="n">
        <v>0.8</v>
      </c>
    </row>
    <row r="40" ht="15" customHeight="1" s="18">
      <c r="A40" s="21" t="inlineStr">
        <is>
          <t>Wand</t>
        </is>
      </c>
      <c r="B40" s="22" t="n">
        <v>0.9</v>
      </c>
    </row>
    <row r="41" ht="15" customHeight="1" s="18">
      <c r="A41" s="21" t="inlineStr">
        <is>
          <t>Sword</t>
        </is>
      </c>
      <c r="B41" s="22" t="n">
        <v>1</v>
      </c>
    </row>
    <row r="42" ht="15" customHeight="1" s="18">
      <c r="A42" s="21" t="inlineStr">
        <is>
          <t>Bow</t>
        </is>
      </c>
      <c r="B42" s="22" t="n">
        <v>1</v>
      </c>
    </row>
    <row r="43" ht="15" customHeight="1" s="18">
      <c r="A43" s="21" t="inlineStr">
        <is>
          <t>Axe</t>
        </is>
      </c>
      <c r="B43" s="22" t="n">
        <v>1.1</v>
      </c>
    </row>
    <row r="44" ht="15" customHeight="1" s="18">
      <c r="A44" s="21" t="inlineStr">
        <is>
          <t>Mace</t>
        </is>
      </c>
      <c r="B44" s="22" t="n">
        <v>1.1</v>
      </c>
    </row>
    <row r="45" ht="15" customHeight="1" s="18">
      <c r="A45" s="21" t="inlineStr">
        <is>
          <t>Staff</t>
        </is>
      </c>
      <c r="B45" s="22" t="n">
        <v>1.2</v>
      </c>
    </row>
    <row r="46" ht="15" customHeight="1" s="18">
      <c r="A46" s="21" t="inlineStr">
        <is>
          <t>Tome</t>
        </is>
      </c>
      <c r="B46" s="22" t="n">
        <v>1.3</v>
      </c>
    </row>
    <row r="47" ht="15" customHeight="1" s="18">
      <c r="A47" s="21" t="inlineStr">
        <is>
          <t>Greatsword</t>
        </is>
      </c>
      <c r="B47" s="22" t="n">
        <v>1.8</v>
      </c>
    </row>
    <row r="49" ht="15" customHeight="1" s="18">
      <c r="A49" s="20" t="inlineStr">
        <is>
          <t>Haste &amp; Cooldown Reduction</t>
        </is>
      </c>
    </row>
    <row r="50" ht="15" customHeight="1" s="18">
      <c r="A50" s="21" t="inlineStr">
        <is>
          <t>K_haste</t>
        </is>
      </c>
      <c r="B50" s="22" t="n">
        <v>200</v>
      </c>
    </row>
    <row r="51" ht="15" customHeight="1" s="18">
      <c r="A51" s="21" t="inlineStr">
        <is>
          <t>MaxCDR (cap)</t>
        </is>
      </c>
      <c r="B51" s="24" t="n">
        <v>0.8</v>
      </c>
    </row>
    <row r="53" ht="15" customHeight="1" s="18">
      <c r="A53" s="20" t="inlineStr">
        <is>
          <t>Dual Wield</t>
        </is>
      </c>
    </row>
    <row r="54" ht="15" customHeight="1" s="18">
      <c r="A54" s="21" t="inlineStr">
        <is>
          <t>DualWieldBaseCDR</t>
        </is>
      </c>
      <c r="B54" s="24" t="n">
        <v>0.2</v>
      </c>
    </row>
    <row r="56" ht="15" customHeight="1" s="18">
      <c r="A56" s="20" t="inlineStr">
        <is>
          <t>Class Mastery Bonuses</t>
        </is>
      </c>
    </row>
    <row r="57" ht="15" customHeight="1" s="18">
      <c r="A57" s="21" t="inlineStr">
        <is>
          <t>MeleeDPS DualWield CDR Bonus</t>
        </is>
      </c>
      <c r="B57" s="24" t="n">
        <v>0.15</v>
      </c>
    </row>
    <row r="58" ht="15" customHeight="1" s="18">
      <c r="A58" s="21" t="inlineStr">
        <is>
          <t>Tank Shield Block Bonus</t>
        </is>
      </c>
      <c r="B58" s="24" t="n">
        <v>0.2</v>
      </c>
    </row>
    <row r="59" ht="15" customHeight="1" s="18">
      <c r="A59" s="21" t="inlineStr">
        <is>
          <t>Tank Shield DEF Bonus (flat)</t>
        </is>
      </c>
      <c r="B59" s="22" t="n">
        <v>20</v>
      </c>
    </row>
    <row r="60" ht="15" customHeight="1" s="18">
      <c r="A60" s="21" t="inlineStr">
        <is>
          <t>RangedDPS Bow Crit Bonus</t>
        </is>
      </c>
      <c r="B60" s="24" t="n">
        <v>0.1</v>
      </c>
    </row>
    <row r="61" ht="15" customHeight="1" s="18">
      <c r="A61" s="21" t="inlineStr">
        <is>
          <t>RangedDPS Bow Damage Bonus</t>
        </is>
      </c>
      <c r="B61" s="24" t="n">
        <v>0.15</v>
      </c>
    </row>
    <row r="62" ht="15" customHeight="1" s="18">
      <c r="A62" s="21" t="inlineStr">
        <is>
          <t>CasterDPS Staff Damage Bonus</t>
        </is>
      </c>
      <c r="B62" s="24" t="n">
        <v>0.15</v>
      </c>
    </row>
    <row r="63" ht="15" customHeight="1" s="18">
      <c r="A63" s="21" t="inlineStr">
        <is>
          <t>CasterDPS Staff Crit Bonus</t>
        </is>
      </c>
      <c r="B63" s="24" t="n">
        <v>0.1</v>
      </c>
    </row>
    <row r="64" ht="15" customHeight="1" s="18">
      <c r="A64" s="21" t="inlineStr">
        <is>
          <t>CasterDPS Staff Penetration Bonus</t>
        </is>
      </c>
      <c r="B64" s="24" t="n">
        <v>0.2</v>
      </c>
    </row>
    <row r="65" ht="15" customHeight="1" s="18">
      <c r="A65" s="21" t="inlineStr">
        <is>
          <t>Support Tome Buff Potency Bonus</t>
        </is>
      </c>
      <c r="B65" s="24" t="n">
        <v>0.25</v>
      </c>
    </row>
    <row r="67" ht="15" customHeight="1" s="18">
      <c r="A67" s="20" t="inlineStr">
        <is>
          <t>Shield / Block</t>
        </is>
      </c>
    </row>
    <row r="68" ht="15" customHeight="1" s="18">
      <c r="A68" s="21" t="inlineStr">
        <is>
          <t>BaseBlockChance</t>
        </is>
      </c>
      <c r="B68" s="24" t="n">
        <v>0.1</v>
      </c>
    </row>
    <row r="69" ht="15" customHeight="1" s="18">
      <c r="A69" s="21" t="inlineStr">
        <is>
          <t>BaseShieldDEF (flat)</t>
        </is>
      </c>
      <c r="B69" s="22" t="n">
        <v>10</v>
      </c>
    </row>
    <row r="70" ht="15" customHeight="1" s="18">
      <c r="A70" s="21" t="inlineStr">
        <is>
          <t>BlockDamageReduction</t>
        </is>
      </c>
      <c r="B70" s="24" t="n">
        <v>0.5</v>
      </c>
    </row>
    <row r="72" ht="15" customHeight="1" s="18">
      <c r="A72" s="20" t="inlineStr">
        <is>
          <t>Experience &amp; Leveling</t>
        </is>
      </c>
    </row>
    <row r="73" ht="15" customHeight="1" s="18">
      <c r="A73" s="21" t="inlineStr">
        <is>
          <t>XPBase</t>
        </is>
      </c>
      <c r="B73" s="22" t="n">
        <v>50</v>
      </c>
      <c r="C73" s="23" t="inlineStr">
        <is>
          <t>XP required for Level 1→2 at Loop 0. Sets overall magnitude of XP numbers.</t>
        </is>
      </c>
    </row>
    <row r="74" ht="15" customHeight="1" s="18">
      <c r="A74" s="21" t="inlineStr">
        <is>
          <t>XPGrowth (g, per-level %)</t>
        </is>
      </c>
      <c r="B74" s="26" t="n">
        <v>0.06</v>
      </c>
      <c r="C74" s="23" t="inlineStr">
        <is>
          <t>Per-level compounding growth. Controls how 'big' late-game XP numbers get.</t>
        </is>
      </c>
    </row>
    <row r="75" ht="15" customHeight="1" s="18">
      <c r="A75" s="21" t="inlineStr">
        <is>
          <t>LevelCap</t>
        </is>
      </c>
      <c r="B75" s="22" t="n">
        <v>200</v>
      </c>
    </row>
    <row r="76" ht="15" customHeight="1" s="18">
      <c r="A76" s="21" t="inlineStr">
        <is>
          <t>KillsPerLevel</t>
        </is>
      </c>
      <c r="B76" s="22" t="n">
        <v>180</v>
      </c>
      <c r="C76" s="23" t="inlineStr">
        <is>
          <t>Avg on-level kills to gain 1 level. Primary pacing knob — independent of XPGrowth.</t>
        </is>
      </c>
    </row>
    <row r="77" ht="15" customHeight="1" s="18">
      <c r="A77" s="21" t="inlineStr">
        <is>
          <t>GreyThreshold (levels below = 0% XP)</t>
        </is>
      </c>
      <c r="B77" s="22" t="n">
        <v>10</v>
      </c>
    </row>
    <row r="78" ht="15" customHeight="1" s="18">
      <c r="A78" s="21" t="inlineStr">
        <is>
          <t>YellowThreshold (levels below = ramp starts)</t>
        </is>
      </c>
      <c r="B78" s="22" t="n">
        <v>5</v>
      </c>
    </row>
    <row r="79" ht="15" customHeight="1" s="18">
      <c r="A79" s="21" t="inlineStr">
        <is>
          <t>BonusXPPerOverLevel</t>
        </is>
      </c>
      <c r="B79" s="24" t="n">
        <v>0.05</v>
      </c>
    </row>
    <row r="80" ht="15" customHeight="1" s="18">
      <c r="A80" s="21" t="inlineStr">
        <is>
          <t>MaxBonusXP (cap)</t>
        </is>
      </c>
      <c r="B80" s="24" t="n">
        <v>0.5</v>
      </c>
    </row>
    <row r="82" ht="15" customHeight="1" s="18">
      <c r="A82" s="20" t="inlineStr">
        <is>
          <t>Playtime Assumptions (pacing calibration)</t>
        </is>
      </c>
    </row>
    <row r="83" ht="15" customHeight="1" s="18">
      <c r="A83" s="21" t="inlineStr">
        <is>
          <t>Active Hours / Day</t>
        </is>
      </c>
      <c r="B83" s="22" t="n">
        <v>2</v>
      </c>
    </row>
    <row r="84" ht="15" customHeight="1" s="18">
      <c r="A84" s="21" t="inlineStr">
        <is>
          <t>Idle/Autoplay Hours / Day</t>
        </is>
      </c>
      <c r="B84" s="22" t="n">
        <v>8</v>
      </c>
    </row>
    <row r="85" ht="15" customHeight="1" s="18">
      <c r="A85" s="21" t="inlineStr">
        <is>
          <t>Active Kills / Hour</t>
        </is>
      </c>
      <c r="B85" s="22" t="n">
        <v>200</v>
      </c>
    </row>
    <row r="86" ht="15" customHeight="1" s="18">
      <c r="A86" s="21" t="inlineStr">
        <is>
          <t>Idle Kills / Hour</t>
        </is>
      </c>
      <c r="B86" s="22" t="n">
        <v>100</v>
      </c>
    </row>
    <row r="87" ht="15" customHeight="1" s="18">
      <c r="A87" s="21" t="inlineStr">
        <is>
          <t>Target Days To Rebirth (design goal)</t>
        </is>
      </c>
      <c r="B87" s="22" t="n">
        <v>30</v>
      </c>
    </row>
    <row r="89">
      <c r="A89" s="27" t="inlineStr">
        <is>
          <t>Stat Progression</t>
        </is>
      </c>
    </row>
    <row r="90">
      <c r="A90" s="28" t="inlineStr">
        <is>
          <t>StatPointsPerLevel</t>
        </is>
      </c>
      <c r="B90" s="29" t="n">
        <v>3</v>
      </c>
      <c r="C90" s="30" t="inlineStr">
        <is>
          <t>Stat points awarded per level-up to distribute (combat-formulas §1).</t>
        </is>
      </c>
    </row>
  </sheetData>
  <mergeCells count="15">
    <mergeCell ref="A82:C82"/>
    <mergeCell ref="A25:C25"/>
    <mergeCell ref="A33:C33"/>
    <mergeCell ref="A19:C19"/>
    <mergeCell ref="A11:C11"/>
    <mergeCell ref="A49:C49"/>
    <mergeCell ref="A1:C1"/>
    <mergeCell ref="A37:C37"/>
    <mergeCell ref="A56:C56"/>
    <mergeCell ref="A67:C67"/>
    <mergeCell ref="A3:C3"/>
    <mergeCell ref="A53:C53"/>
    <mergeCell ref="A29:C29"/>
    <mergeCell ref="A7:C7"/>
    <mergeCell ref="A72:C7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4" customWidth="1" style="18" min="1" max="1"/>
    <col width="12" customWidth="1" style="18" min="2" max="2"/>
    <col width="14" customWidth="1" style="18" min="3" max="3"/>
    <col width="14" customWidth="1" style="18" min="4" max="4"/>
    <col width="12" customWidth="1" style="18" min="5" max="5"/>
    <col width="12" customWidth="1" style="18" min="6" max="6"/>
    <col width="12" customWidth="1" style="18" min="7" max="7"/>
    <col width="12" customWidth="1" style="18" min="8" max="8"/>
    <col width="12" customWidth="1" style="18" min="9" max="9"/>
    <col width="12" customWidth="1" style="18" min="10" max="10"/>
    <col width="12" customWidth="1" style="18" min="11" max="11"/>
    <col width="14" customWidth="1" style="18" min="12" max="12"/>
    <col width="48" customWidth="1" style="18" min="13" max="13"/>
  </cols>
  <sheetData>
    <row r="1">
      <c r="A1" s="31" t="inlineStr">
        <is>
          <t>GEAR TIERS &amp; EQUIPMENT STAT BUDGETS</t>
        </is>
      </c>
    </row>
    <row r="2">
      <c r="A2" s="32" t="inlineStr">
        <is>
          <t>Standardized equipment budgets across 11 loadout slots per zone/character progression tier.</t>
        </is>
      </c>
    </row>
    <row r="3">
      <c r="A3" s="33" t="inlineStr">
        <is>
          <t>Tier Name</t>
        </is>
      </c>
      <c r="B3" s="34" t="inlineStr">
        <is>
          <t>Rec Level</t>
        </is>
      </c>
      <c r="C3" s="34" t="inlineStr">
        <is>
          <t>WeaponBase</t>
        </is>
      </c>
      <c r="D3" s="34" t="inlineStr">
        <is>
          <t>SkillBase</t>
        </is>
      </c>
      <c r="E3" s="34" t="inlineStr">
        <is>
          <t>STR Bonus</t>
        </is>
      </c>
      <c r="F3" s="34" t="inlineStr">
        <is>
          <t>INT Bonus</t>
        </is>
      </c>
      <c r="G3" s="34" t="inlineStr">
        <is>
          <t>VIT Bonus</t>
        </is>
      </c>
      <c r="H3" s="34" t="inlineStr">
        <is>
          <t>DEF Bonus</t>
        </is>
      </c>
      <c r="I3" s="34" t="inlineStr">
        <is>
          <t>AGI Bonus</t>
        </is>
      </c>
      <c r="J3" s="34" t="inlineStr">
        <is>
          <t>LUK Bonus</t>
        </is>
      </c>
      <c r="K3" s="34" t="inlineStr">
        <is>
          <t>Armor DEF</t>
        </is>
      </c>
      <c r="L3" s="34" t="inlineStr">
        <is>
          <t>Shield Block %</t>
        </is>
      </c>
      <c r="M3" s="34" t="inlineStr">
        <is>
          <t>Description / Rarity</t>
        </is>
      </c>
    </row>
    <row r="4">
      <c r="A4" s="28" t="inlineStr">
        <is>
          <t>Tier 0 (Starter)</t>
        </is>
      </c>
      <c r="B4" s="35" t="n">
        <v>1</v>
      </c>
      <c r="C4" s="36" t="n">
        <v>20</v>
      </c>
      <c r="D4" s="36" t="n">
        <v>20</v>
      </c>
      <c r="E4" s="36" t="n">
        <v>0</v>
      </c>
      <c r="F4" s="36" t="n">
        <v>0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7" t="n">
        <v>0.1</v>
      </c>
      <c r="M4" s="28" t="inlineStr">
        <is>
          <t>Common / Tattered Starter Gear &amp; Rusty Sword</t>
        </is>
      </c>
    </row>
    <row r="5">
      <c r="A5" s="28" t="inlineStr">
        <is>
          <t>Tier 1 (Common)</t>
        </is>
      </c>
      <c r="B5" s="35" t="n">
        <v>5</v>
      </c>
      <c r="C5" s="36" t="n">
        <v>35</v>
      </c>
      <c r="D5" s="36" t="n">
        <v>35</v>
      </c>
      <c r="E5" s="36" t="n">
        <v>10</v>
      </c>
      <c r="F5" s="36" t="n">
        <v>10</v>
      </c>
      <c r="G5" s="36" t="n">
        <v>10</v>
      </c>
      <c r="H5" s="36" t="n">
        <v>15</v>
      </c>
      <c r="I5" s="36" t="n">
        <v>5</v>
      </c>
      <c r="J5" s="36" t="n">
        <v>5</v>
      </c>
      <c r="K5" s="36" t="n">
        <v>15</v>
      </c>
      <c r="L5" s="37" t="n">
        <v>0.15</v>
      </c>
      <c r="M5" s="28" t="inlineStr">
        <is>
          <t>Apprentice Iron / Boiled Leather (Zone Tier 1)</t>
        </is>
      </c>
    </row>
    <row r="6">
      <c r="A6" s="28" t="inlineStr">
        <is>
          <t>Tier 2 (Uncommon)</t>
        </is>
      </c>
      <c r="B6" s="35" t="n">
        <v>25</v>
      </c>
      <c r="C6" s="36" t="n">
        <v>65</v>
      </c>
      <c r="D6" s="36" t="n">
        <v>65</v>
      </c>
      <c r="E6" s="36" t="n">
        <v>25</v>
      </c>
      <c r="F6" s="36" t="n">
        <v>25</v>
      </c>
      <c r="G6" s="36" t="n">
        <v>25</v>
      </c>
      <c r="H6" s="36" t="n">
        <v>35</v>
      </c>
      <c r="I6" s="36" t="n">
        <v>15</v>
      </c>
      <c r="J6" s="36" t="n">
        <v>15</v>
      </c>
      <c r="K6" s="36" t="n">
        <v>35</v>
      </c>
      <c r="L6" s="37" t="n">
        <v>0.2</v>
      </c>
      <c r="M6" s="28" t="inlineStr">
        <is>
          <t>Tempered Steel / Hardened Chainmail (Zone Tier 2)</t>
        </is>
      </c>
    </row>
    <row r="7">
      <c r="A7" s="28" t="inlineStr">
        <is>
          <t>Tier 3 (Rare)</t>
        </is>
      </c>
      <c r="B7" s="35" t="n">
        <v>50</v>
      </c>
      <c r="C7" s="36" t="n">
        <v>120</v>
      </c>
      <c r="D7" s="36" t="n">
        <v>120</v>
      </c>
      <c r="E7" s="36" t="n">
        <v>60</v>
      </c>
      <c r="F7" s="36" t="n">
        <v>60</v>
      </c>
      <c r="G7" s="36" t="n">
        <v>60</v>
      </c>
      <c r="H7" s="36" t="n">
        <v>80</v>
      </c>
      <c r="I7" s="36" t="n">
        <v>35</v>
      </c>
      <c r="J7" s="36" t="n">
        <v>35</v>
      </c>
      <c r="K7" s="36" t="n">
        <v>80</v>
      </c>
      <c r="L7" s="37" t="n">
        <v>0.25</v>
      </c>
      <c r="M7" s="28" t="inlineStr">
        <is>
          <t>Mastercrafted Mithril / Enchanted Plate (Zone Tier 3)</t>
        </is>
      </c>
    </row>
    <row r="8">
      <c r="A8" s="28" t="inlineStr">
        <is>
          <t>Tier 4 (Epic)</t>
        </is>
      </c>
      <c r="B8" s="35" t="n">
        <v>100</v>
      </c>
      <c r="C8" s="36" t="n">
        <v>240</v>
      </c>
      <c r="D8" s="36" t="n">
        <v>240</v>
      </c>
      <c r="E8" s="36" t="n">
        <v>130</v>
      </c>
      <c r="F8" s="36" t="n">
        <v>130</v>
      </c>
      <c r="G8" s="36" t="n">
        <v>130</v>
      </c>
      <c r="H8" s="36" t="n">
        <v>180</v>
      </c>
      <c r="I8" s="36" t="n">
        <v>75</v>
      </c>
      <c r="J8" s="36" t="n">
        <v>75</v>
      </c>
      <c r="K8" s="36" t="n">
        <v>180</v>
      </c>
      <c r="L8" s="37" t="n">
        <v>0.3</v>
      </c>
      <c r="M8" s="28" t="inlineStr">
        <is>
          <t>Dragonforged Relics / Void-Infused Armor (Zone Tier 4)</t>
        </is>
      </c>
    </row>
    <row r="9">
      <c r="A9" s="28" t="inlineStr">
        <is>
          <t>Tier 5 (Legendary)</t>
        </is>
      </c>
      <c r="B9" s="35" t="n">
        <v>200</v>
      </c>
      <c r="C9" s="36" t="n">
        <v>400</v>
      </c>
      <c r="D9" s="36" t="n">
        <v>400</v>
      </c>
      <c r="E9" s="36" t="n">
        <v>250</v>
      </c>
      <c r="F9" s="36" t="n">
        <v>250</v>
      </c>
      <c r="G9" s="36" t="n">
        <v>250</v>
      </c>
      <c r="H9" s="36" t="n">
        <v>350</v>
      </c>
      <c r="I9" s="36" t="n">
        <v>150</v>
      </c>
      <c r="J9" s="36" t="n">
        <v>150</v>
      </c>
      <c r="K9" s="36" t="n">
        <v>350</v>
      </c>
      <c r="L9" s="37" t="n">
        <v>0.35</v>
      </c>
      <c r="M9" s="28" t="inlineStr">
        <is>
          <t>Prestige Artifacts / Max Rebirth Cap (Zone Tier 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7" min="1" max="1"/>
    <col width="14" customWidth="1" style="17" min="2" max="2"/>
    <col width="18" customWidth="1" style="17" min="3" max="3"/>
    <col width="18" customWidth="1" style="17" min="4" max="5"/>
    <col width="12" customWidth="1" style="18" min="6" max="6"/>
  </cols>
  <sheetData>
    <row r="1" ht="21.75" customHeight="1" s="18">
      <c r="A1" s="19" t="inlineStr">
        <is>
          <t>PLAYER BUILD</t>
        </is>
      </c>
    </row>
    <row r="3" ht="15" customHeight="1" s="18">
      <c r="A3" s="21" t="inlineStr">
        <is>
          <t>Level</t>
        </is>
      </c>
      <c r="B3" s="22" t="n">
        <v>1</v>
      </c>
      <c r="C3" s="38" t="inlineStr">
        <is>
          <t>Stat Points Earned:</t>
        </is>
      </c>
      <c r="D3" s="39">
        <f>MAX(0, (B3-1)*Constants!$B$90)</f>
        <v/>
      </c>
    </row>
    <row r="4" ht="15" customHeight="1" s="18">
      <c r="A4" s="21" t="inlineStr">
        <is>
          <t>Reincarnations (N)</t>
        </is>
      </c>
      <c r="B4" s="22" t="n">
        <v>0</v>
      </c>
      <c r="C4" s="38" t="inlineStr">
        <is>
          <t>Unspent Points:</t>
        </is>
      </c>
      <c r="D4" s="40">
        <f>D3-SUM(C11:C16)</f>
        <v/>
      </c>
    </row>
    <row r="5" ht="15" customHeight="1" s="18">
      <c r="A5" s="21" t="inlineStr">
        <is>
          <t>Class</t>
        </is>
      </c>
      <c r="B5" s="22" t="inlineStr">
        <is>
          <t>Melee DPS</t>
        </is>
      </c>
    </row>
    <row r="6" ht="15" customHeight="1" s="18">
      <c r="A6" s="21" t="inlineStr">
        <is>
          <t>Main-Hand Weapon</t>
        </is>
      </c>
      <c r="B6" s="22" t="inlineStr">
        <is>
          <t>Sword</t>
        </is>
      </c>
    </row>
    <row r="7" ht="15" customHeight="1" s="18">
      <c r="A7" s="21" t="inlineStr">
        <is>
          <t>Off-Hand</t>
        </is>
      </c>
      <c r="B7" s="22" t="inlineStr">
        <is>
          <t>Dual-Wield Weapon</t>
        </is>
      </c>
    </row>
    <row r="8">
      <c r="A8" s="41" t="inlineStr">
        <is>
          <t>Equipped Gear Tier</t>
        </is>
      </c>
      <c r="B8" s="29" t="inlineStr">
        <is>
          <t>Tier 0 (Starter)</t>
        </is>
      </c>
    </row>
    <row r="9" ht="15" customHeight="1" s="18">
      <c r="A9" s="42" t="inlineStr">
        <is>
          <t>Core Stats</t>
        </is>
      </c>
    </row>
    <row r="10" ht="15" customHeight="1" s="18">
      <c r="A10" s="25" t="inlineStr">
        <is>
          <t>Stat</t>
        </is>
      </c>
      <c r="B10" s="25" t="inlineStr">
        <is>
          <t>Base</t>
        </is>
      </c>
      <c r="C10" s="25" t="inlineStr">
        <is>
          <t>Allocated Points</t>
        </is>
      </c>
      <c r="D10" s="25" t="inlineStr">
        <is>
          <t>Gear Bonus</t>
        </is>
      </c>
      <c r="E10" s="25" t="inlineStr">
        <is>
          <t>Total</t>
        </is>
      </c>
      <c r="F10" s="43" t="inlineStr">
        <is>
          <t>Alloc %</t>
        </is>
      </c>
    </row>
    <row r="11" ht="15" customHeight="1" s="18">
      <c r="A11" s="21" t="inlineStr">
        <is>
          <t>STR</t>
        </is>
      </c>
      <c r="B11" s="22" t="n">
        <v>5</v>
      </c>
      <c r="C11" s="44">
        <f>ROUND($D$3*F11, 0)</f>
        <v/>
      </c>
      <c r="D11" s="45">
        <f>IF($B$8="Custom", 0, VLOOKUP($B$8, GearTiers!$A$4:$J$9, 5, FALSE))</f>
        <v/>
      </c>
      <c r="E11" s="46">
        <f>SUM(B11:D11)</f>
        <v/>
      </c>
      <c r="F11" s="47" t="n">
        <v>0.5</v>
      </c>
    </row>
    <row r="12" ht="15" customHeight="1" s="18">
      <c r="A12" s="21" t="inlineStr">
        <is>
          <t>INT</t>
        </is>
      </c>
      <c r="B12" s="22" t="n">
        <v>5</v>
      </c>
      <c r="C12" s="44">
        <f>ROUND($D$3*F12, 0)</f>
        <v/>
      </c>
      <c r="D12" s="45">
        <f>IF($B$8="Custom", 0, VLOOKUP($B$8, GearTiers!$A$4:$J$9, 6, FALSE))</f>
        <v/>
      </c>
      <c r="E12" s="46">
        <f>SUM(B12:D12)</f>
        <v/>
      </c>
      <c r="F12" s="47" t="n">
        <v>0</v>
      </c>
    </row>
    <row r="13" ht="15" customHeight="1" s="18">
      <c r="A13" s="21" t="inlineStr">
        <is>
          <t>VIT</t>
        </is>
      </c>
      <c r="B13" s="22" t="n">
        <v>10</v>
      </c>
      <c r="C13" s="44">
        <f>ROUND($D$3*F13, 0)</f>
        <v/>
      </c>
      <c r="D13" s="45">
        <f>IF($B$8="Custom", 0, VLOOKUP($B$8, GearTiers!$A$4:$J$9, 7, FALSE))</f>
        <v/>
      </c>
      <c r="E13" s="46">
        <f>SUM(B13:D13)</f>
        <v/>
      </c>
      <c r="F13" s="47" t="n">
        <v>0.2</v>
      </c>
    </row>
    <row r="14" ht="15" customHeight="1" s="18">
      <c r="A14" s="21" t="inlineStr">
        <is>
          <t>DEF</t>
        </is>
      </c>
      <c r="B14" s="22" t="n">
        <v>5</v>
      </c>
      <c r="C14" s="44">
        <f>ROUND($D$3*F14, 0)</f>
        <v/>
      </c>
      <c r="D14" s="45">
        <f>IF($B$8="Custom", 0, VLOOKUP($B$8, GearTiers!$A$4:$J$9, 8, FALSE))</f>
        <v/>
      </c>
      <c r="E14" s="46">
        <f>SUM(B14:D14)</f>
        <v/>
      </c>
      <c r="F14" s="47" t="n">
        <v>0.1</v>
      </c>
    </row>
    <row r="15" ht="15" customHeight="1" s="18">
      <c r="A15" s="21" t="inlineStr">
        <is>
          <t>AGI</t>
        </is>
      </c>
      <c r="B15" s="22" t="n">
        <v>5</v>
      </c>
      <c r="C15" s="44">
        <f>ROUND($D$3*F15, 0)</f>
        <v/>
      </c>
      <c r="D15" s="45">
        <f>IF($B$8="Custom", 0, VLOOKUP($B$8, GearTiers!$A$4:$J$9, 9, FALSE))</f>
        <v/>
      </c>
      <c r="E15" s="46">
        <f>SUM(B15:D15)</f>
        <v/>
      </c>
      <c r="F15" s="47" t="n">
        <v>0.1</v>
      </c>
    </row>
    <row r="16" ht="15" customHeight="1" s="18">
      <c r="A16" s="21" t="inlineStr">
        <is>
          <t>LUK</t>
        </is>
      </c>
      <c r="B16" s="22" t="n">
        <v>5</v>
      </c>
      <c r="C16" s="44">
        <f>ROUND($D$3*F16, 0)</f>
        <v/>
      </c>
      <c r="D16" s="45">
        <f>IF($B$8="Custom", 0, VLOOKUP($B$8, GearTiers!$A$4:$J$9, 10, FALSE))</f>
        <v/>
      </c>
      <c r="E16" s="46">
        <f>SUM(B16:D16)</f>
        <v/>
      </c>
      <c r="F16" s="47" t="n">
        <v>0.1</v>
      </c>
    </row>
    <row r="18" ht="15" customHeight="1" s="18">
      <c r="A18" s="20" t="inlineStr">
        <is>
          <t>Elemental Resistances</t>
        </is>
      </c>
    </row>
    <row r="19" ht="15" customHeight="1" s="18">
      <c r="A19" s="25" t="inlineStr">
        <is>
          <t>Element</t>
        </is>
      </c>
      <c r="B19" s="25" t="inlineStr">
        <is>
          <t>Base</t>
        </is>
      </c>
      <c r="C19" s="25" t="inlineStr">
        <is>
          <t>Allocated Points</t>
        </is>
      </c>
      <c r="D19" s="25" t="inlineStr">
        <is>
          <t>Gear Bonus</t>
        </is>
      </c>
      <c r="E19" s="25" t="inlineStr">
        <is>
          <t>Total</t>
        </is>
      </c>
    </row>
    <row r="20" ht="15" customHeight="1" s="18">
      <c r="A20" s="21" t="inlineStr">
        <is>
          <t>Fire</t>
        </is>
      </c>
      <c r="B20" s="22" t="n">
        <v>0</v>
      </c>
      <c r="C20" s="22" t="n">
        <v>0</v>
      </c>
      <c r="D20" s="22" t="n">
        <v>0</v>
      </c>
      <c r="E20" s="46">
        <f>SUM(B20:D20)</f>
        <v/>
      </c>
    </row>
    <row r="21" ht="15" customHeight="1" s="18">
      <c r="A21" s="21" t="inlineStr">
        <is>
          <t>Ice</t>
        </is>
      </c>
      <c r="B21" s="22" t="n">
        <v>0</v>
      </c>
      <c r="C21" s="22" t="n">
        <v>0</v>
      </c>
      <c r="D21" s="22" t="n">
        <v>0</v>
      </c>
      <c r="E21" s="46">
        <f>SUM(B21:D21)</f>
        <v/>
      </c>
    </row>
    <row r="22" ht="15" customHeight="1" s="18">
      <c r="A22" s="21" t="inlineStr">
        <is>
          <t>Lightning</t>
        </is>
      </c>
      <c r="B22" s="22" t="n">
        <v>0</v>
      </c>
      <c r="C22" s="22" t="n">
        <v>0</v>
      </c>
      <c r="D22" s="22" t="n">
        <v>0</v>
      </c>
      <c r="E22" s="46">
        <f>SUM(B22:D22)</f>
        <v/>
      </c>
    </row>
    <row r="23" ht="15" customHeight="1" s="18">
      <c r="A23" s="21" t="inlineStr">
        <is>
          <t>Poison</t>
        </is>
      </c>
      <c r="B23" s="22" t="n">
        <v>0</v>
      </c>
      <c r="C23" s="22" t="n">
        <v>0</v>
      </c>
      <c r="D23" s="22" t="n">
        <v>0</v>
      </c>
      <c r="E23" s="46">
        <f>SUM(B23:D23)</f>
        <v/>
      </c>
    </row>
    <row r="25" ht="15" customHeight="1" s="18">
      <c r="A25" s="20" t="inlineStr">
        <is>
          <t>Loadout &amp; Derived</t>
        </is>
      </c>
    </row>
    <row r="26" ht="15" customHeight="1" s="18">
      <c r="A26" s="21" t="inlineStr">
        <is>
          <t>Weapon Base Damage (physical)</t>
        </is>
      </c>
      <c r="B26" s="48">
        <f>IF($B$8="Custom", 20, VLOOKUP($B$8, GearTiers!$A$4:$J$9, 3, FALSE))</f>
        <v/>
      </c>
    </row>
    <row r="27" ht="15" customHeight="1" s="18">
      <c r="A27" s="21" t="inlineStr">
        <is>
          <t>Skill Base Damage (elemental)</t>
        </is>
      </c>
      <c r="B27" s="48">
        <f>IF($B$8="Custom", 20, VLOOKUP($B$8, GearTiers!$A$4:$J$9, 4, FALSE))</f>
        <v/>
      </c>
    </row>
    <row r="28" ht="15" customHeight="1" s="18">
      <c r="A28" s="21" t="inlineStr">
        <is>
          <t>Max HP</t>
        </is>
      </c>
      <c r="B28" s="46">
        <f>Constants!B34+E13*Constants!B35</f>
        <v/>
      </c>
    </row>
    <row r="29" ht="15" customHeight="1" s="18">
      <c r="A29" s="21" t="inlineStr">
        <is>
          <t>Prestige Multiplier</t>
        </is>
      </c>
      <c r="B29" s="46">
        <f>(1+Constants!B26)^B4</f>
        <v/>
      </c>
    </row>
    <row r="31" ht="15" customHeight="1" s="18">
      <c r="A31" s="20" t="inlineStr">
        <is>
          <t>Weapon Speed &amp; Mastery (derived)</t>
        </is>
      </c>
    </row>
    <row r="32" ht="15" customHeight="1" s="18">
      <c r="A32" s="21" t="inlineStr">
        <is>
          <t>Base Weapon Cooldown (sec)</t>
        </is>
      </c>
      <c r="B32" s="46">
        <f>INDEX(Constants!B39:B47,MATCH(B6,Constants!A39:A47,0))</f>
        <v/>
      </c>
    </row>
    <row r="33" ht="15" customHeight="1" s="18">
      <c r="A33" s="21" t="inlineStr">
        <is>
          <t>Haste % (from AGI)</t>
        </is>
      </c>
      <c r="B33" s="49">
        <f>E15/(E15+Constants!B50)</f>
        <v/>
      </c>
    </row>
    <row r="34" ht="15" customHeight="1" s="18">
      <c r="A34" s="21" t="inlineStr">
        <is>
          <t>Dual-Wield CDR Bonus</t>
        </is>
      </c>
      <c r="B34" s="49">
        <f>IF(B7="Dual-Wield Weapon",Constants!B54+IF(B5="Melee DPS",Constants!B57,0),0)</f>
        <v/>
      </c>
    </row>
    <row r="35" ht="15" customHeight="1" s="18">
      <c r="A35" s="21" t="inlineStr">
        <is>
          <t>Total Cooldown Reduction %</t>
        </is>
      </c>
      <c r="B35" s="49">
        <f>MIN(B33+B34,Constants!B51)</f>
        <v/>
      </c>
    </row>
    <row r="36" ht="15" customHeight="1" s="18">
      <c r="A36" s="21" t="inlineStr">
        <is>
          <t>Effective Basic Attack Cooldown (sec)</t>
        </is>
      </c>
      <c r="B36" s="46">
        <f>B32*(1-B35)</f>
        <v/>
      </c>
    </row>
    <row r="37" ht="15" customHeight="1" s="18">
      <c r="A37" s="21" t="inlineStr">
        <is>
          <t>Attacks Per Second</t>
        </is>
      </c>
      <c r="B37" s="46">
        <f>1/B36</f>
        <v/>
      </c>
    </row>
    <row r="39" ht="15" customHeight="1" s="18">
      <c r="A39" s="21" t="inlineStr">
        <is>
          <t>Block Chance % (if Shield equipped)</t>
        </is>
      </c>
      <c r="B39" s="49">
        <f>IF(B7="Shield",Constants!B68+IF(B5="Tank",Constants!B58,0),0)</f>
        <v/>
      </c>
    </row>
    <row r="40" ht="15" customHeight="1" s="18">
      <c r="A40" s="21" t="inlineStr">
        <is>
          <t>Shield &amp; Armor DEF Bonus (flat)</t>
        </is>
      </c>
      <c r="B40" s="50">
        <f>IF(B7="Shield",Constants!B69+IF(B5="Tank",Constants!B59,0),0) + IF($B$8="Custom",0,VLOOKUP($B$8,GearTiers!$A$4:$K$9,11,FALSE))</f>
        <v/>
      </c>
    </row>
    <row r="41" ht="15" customHeight="1" s="18">
      <c r="A41" s="21" t="inlineStr">
        <is>
          <t>Ranged Bonus Crit Chance % (Bow)</t>
        </is>
      </c>
      <c r="B41" s="49">
        <f>IF(AND(B5="Ranged DPS",B6="Bow"),Constants!B60,0)</f>
        <v/>
      </c>
    </row>
    <row r="42" ht="15" customHeight="1" s="18">
      <c r="A42" s="21" t="inlineStr">
        <is>
          <t>Ranged Bonus Damage % (Bow)</t>
        </is>
      </c>
      <c r="B42" s="49">
        <f>IF(AND(B5="Ranged DPS",B6="Bow"),Constants!B61,0)</f>
        <v/>
      </c>
    </row>
    <row r="43" ht="15" customHeight="1" s="18">
      <c r="A43" s="21" t="inlineStr">
        <is>
          <t>Caster Bonus Damage % (Staff)</t>
        </is>
      </c>
      <c r="B43" s="49">
        <f>IF(AND(B5="Caster DPS",B6="Staff"),Constants!B62,0)</f>
        <v/>
      </c>
    </row>
    <row r="44" ht="15" customHeight="1" s="18">
      <c r="A44" s="21" t="inlineStr">
        <is>
          <t>Caster Bonus Crit % (Staff)</t>
        </is>
      </c>
      <c r="B44" s="49">
        <f>IF(AND(B5="Caster DPS",B6="Staff"),Constants!B63,0)</f>
        <v/>
      </c>
    </row>
    <row r="45" ht="15" customHeight="1" s="18">
      <c r="A45" s="21" t="inlineStr">
        <is>
          <t>Caster Bonus Penetration % (Staff)</t>
        </is>
      </c>
      <c r="B45" s="49">
        <f>IF(AND(B5="Caster DPS",B6="Staff"),Constants!B64,0)</f>
        <v/>
      </c>
    </row>
    <row r="46" ht="15" customHeight="1" s="18">
      <c r="A46" s="21" t="inlineStr">
        <is>
          <t>Support Buff Potency % (Tome)</t>
        </is>
      </c>
      <c r="B46" s="49">
        <f>IF(AND(B5="Support",B6="Tome"),Constants!B65,0)</f>
        <v/>
      </c>
      <c r="C46" s="23" t="inlineStr">
        <is>
          <t>Boosts the % value of buffs/heals THIS character casts (§10). Not reflected in the damage/TTK calculator below.</t>
        </is>
      </c>
    </row>
    <row r="48" ht="15" customHeight="1" s="18">
      <c r="A48" s="23" t="inlineStr">
        <is>
          <t>Legend: yellow cells are inputs. Class/Weapon/Off-Hand are free choices — mastery bonuses only apply when they match (see combat-formulas.md §11).</t>
        </is>
      </c>
    </row>
    <row r="50" ht="15" customHeight="1" s="18">
      <c r="A50" s="21" t="inlineStr">
        <is>
          <t>Skill Element (for Elemental Attack)</t>
        </is>
      </c>
      <c r="B50" s="22" t="inlineStr">
        <is>
          <t>Fire</t>
        </is>
      </c>
      <c r="C50" s="23" t="inlineStr">
        <is>
          <t>Which element your elemental skill deals — determines which enemy RES applies.</t>
        </is>
      </c>
    </row>
  </sheetData>
  <mergeCells count="6">
    <mergeCell ref="A48:E48"/>
    <mergeCell ref="A25:E25"/>
    <mergeCell ref="A9:F9"/>
    <mergeCell ref="A1:E1"/>
    <mergeCell ref="A31:E31"/>
    <mergeCell ref="A18:E18"/>
  </mergeCells>
  <dataValidations count="4">
    <dataValidation sqref="B5" showDropDown="0" showInputMessage="0" showErrorMessage="0" allowBlank="0" type="list" errorStyle="stop" operator="between">
      <formula1>"Melee DPS,Tank,Ranged DPS,Caster DPS,Support"</formula1>
      <formula2>0</formula2>
    </dataValidation>
    <dataValidation sqref="B6" showDropDown="0" showInputMessage="0" showErrorMessage="0" allowBlank="0" type="list" errorStyle="stop" operator="between">
      <formula1>"Dagger,Wand,Sword,Bow,Axe,Mace,Staff,Tome,Greatsword"</formula1>
      <formula2>0</formula2>
    </dataValidation>
    <dataValidation sqref="B7" showDropDown="0" showInputMessage="0" showErrorMessage="0" allowBlank="0" type="list" errorStyle="stop" operator="between">
      <formula1>"Dual-Wield Weapon,Shield,None"</formula1>
      <formula2>0</formula2>
    </dataValidation>
    <dataValidation sqref="B50" showDropDown="0" showInputMessage="0" showErrorMessage="0" allowBlank="0" type="list" errorStyle="stop" operator="between">
      <formula1>"Fire,Ice,Lightning,Poison"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7" min="1" max="1"/>
    <col width="14" customWidth="1" style="17" min="2" max="2"/>
    <col width="16" customWidth="1" style="17" min="3" max="3"/>
  </cols>
  <sheetData>
    <row r="1" ht="21.75" customHeight="1" s="18">
      <c r="A1" s="19" t="inlineStr">
        <is>
          <t>ENEMY BUILD</t>
        </is>
      </c>
    </row>
    <row r="2" ht="15" customHeight="1" s="18">
      <c r="A2" s="23" t="inlineStr">
        <is>
          <t>Full stat parity with PlayerBuild — enemies use the exact same abilities, so they need the exact same stat block and mastery system.</t>
        </is>
      </c>
    </row>
    <row r="4" ht="15" customHeight="1" s="18">
      <c r="A4" s="21" t="inlineStr">
        <is>
          <t>Zone Tier / Loop (N)</t>
        </is>
      </c>
      <c r="B4" s="22" t="n">
        <v>0</v>
      </c>
    </row>
    <row r="5" ht="15" customHeight="1" s="18">
      <c r="A5" s="21" t="inlineStr">
        <is>
          <t>Class</t>
        </is>
      </c>
      <c r="B5" s="22" t="inlineStr">
        <is>
          <t>Melee DPS</t>
        </is>
      </c>
    </row>
    <row r="6" ht="15" customHeight="1" s="18">
      <c r="A6" s="21" t="inlineStr">
        <is>
          <t>Main-Hand Weapon</t>
        </is>
      </c>
      <c r="B6" s="22" t="inlineStr">
        <is>
          <t>Sword</t>
        </is>
      </c>
    </row>
    <row r="7" ht="15" customHeight="1" s="18">
      <c r="A7" s="21" t="inlineStr">
        <is>
          <t>Off-Hand</t>
        </is>
      </c>
      <c r="B7" s="22" t="inlineStr">
        <is>
          <t>None</t>
        </is>
      </c>
    </row>
    <row r="8" ht="15" customHeight="1" s="18">
      <c r="A8" s="21" t="inlineStr">
        <is>
          <t>Attack Element (primary, vs player)</t>
        </is>
      </c>
      <c r="B8" s="22" t="inlineStr">
        <is>
          <t>Physical</t>
        </is>
      </c>
    </row>
    <row r="9" ht="15" customHeight="1" s="18">
      <c r="A9" s="21" t="inlineStr">
        <is>
          <t>Weakness Category (encounter design, vs player's element)</t>
        </is>
      </c>
      <c r="B9" s="22" t="inlineStr">
        <is>
          <t>Neutral</t>
        </is>
      </c>
    </row>
    <row r="11" ht="15" customHeight="1" s="18">
      <c r="A11" s="21" t="inlineStr">
        <is>
          <t>Difficulty Multiplier</t>
        </is>
      </c>
      <c r="B11" s="46">
        <f>(1+Constants!B27)^B4</f>
        <v/>
      </c>
      <c r="C11" s="23" t="inlineStr">
        <is>
          <t>Enemy's equivalent of the player's Prestige Multiplier.</t>
        </is>
      </c>
    </row>
    <row r="13" ht="15" customHeight="1" s="18">
      <c r="A13" s="20" t="inlineStr">
        <is>
          <t>Core Stats</t>
        </is>
      </c>
    </row>
    <row r="14" ht="15" customHeight="1" s="18">
      <c r="A14" s="25" t="inlineStr">
        <is>
          <t>Stat</t>
        </is>
      </c>
      <c r="B14" s="25" t="inlineStr">
        <is>
          <t>Base</t>
        </is>
      </c>
      <c r="C14" s="25" t="inlineStr">
        <is>
          <t>Scaled Total</t>
        </is>
      </c>
    </row>
    <row r="15" ht="15" customHeight="1" s="18">
      <c r="A15" s="21" t="inlineStr">
        <is>
          <t>STR</t>
        </is>
      </c>
      <c r="B15" s="22" t="n">
        <v>15</v>
      </c>
      <c r="C15" s="46">
        <f>B15*$B$11</f>
        <v/>
      </c>
    </row>
    <row r="16" ht="15" customHeight="1" s="18">
      <c r="A16" s="21" t="inlineStr">
        <is>
          <t>INT</t>
        </is>
      </c>
      <c r="B16" s="22" t="n">
        <v>5</v>
      </c>
      <c r="C16" s="46">
        <f>B16*$B$11</f>
        <v/>
      </c>
    </row>
    <row r="17" ht="15" customHeight="1" s="18">
      <c r="A17" s="21" t="inlineStr">
        <is>
          <t>VIT</t>
        </is>
      </c>
      <c r="B17" s="22" t="n">
        <v>10</v>
      </c>
      <c r="C17" s="46">
        <f>B17*$B$11</f>
        <v/>
      </c>
    </row>
    <row r="18" ht="15" customHeight="1" s="18">
      <c r="A18" s="21" t="inlineStr">
        <is>
          <t>DEF</t>
        </is>
      </c>
      <c r="B18" s="22" t="n">
        <v>15</v>
      </c>
      <c r="C18" s="46">
        <f>B18*$B$11</f>
        <v/>
      </c>
    </row>
    <row r="19" ht="15" customHeight="1" s="18">
      <c r="A19" s="21" t="inlineStr">
        <is>
          <t>AGI</t>
        </is>
      </c>
      <c r="B19" s="22" t="n">
        <v>5</v>
      </c>
      <c r="C19" s="46">
        <f>B19*$B$11</f>
        <v/>
      </c>
    </row>
    <row r="20" ht="15" customHeight="1" s="18">
      <c r="A20" s="21" t="inlineStr">
        <is>
          <t>LUK</t>
        </is>
      </c>
      <c r="B20" s="22" t="n">
        <v>5</v>
      </c>
      <c r="C20" s="46">
        <f>B20*$B$11</f>
        <v/>
      </c>
    </row>
    <row r="22" ht="15" customHeight="1" s="18">
      <c r="A22" s="20" t="inlineStr">
        <is>
          <t>Elemental Resistances</t>
        </is>
      </c>
    </row>
    <row r="23" ht="15" customHeight="1" s="18">
      <c r="A23" s="25" t="inlineStr">
        <is>
          <t>Element</t>
        </is>
      </c>
      <c r="B23" s="25" t="inlineStr">
        <is>
          <t>Base</t>
        </is>
      </c>
      <c r="C23" s="25" t="inlineStr">
        <is>
          <t>Scaled Total</t>
        </is>
      </c>
    </row>
    <row r="24" ht="15" customHeight="1" s="18">
      <c r="A24" s="21" t="inlineStr">
        <is>
          <t>Fire</t>
        </is>
      </c>
      <c r="B24" s="22" t="n">
        <v>0</v>
      </c>
      <c r="C24" s="46">
        <f>B24*$B$11</f>
        <v/>
      </c>
    </row>
    <row r="25" ht="15" customHeight="1" s="18">
      <c r="A25" s="21" t="inlineStr">
        <is>
          <t>Ice</t>
        </is>
      </c>
      <c r="B25" s="22" t="n">
        <v>0</v>
      </c>
      <c r="C25" s="46">
        <f>B25*$B$11</f>
        <v/>
      </c>
    </row>
    <row r="26" ht="15" customHeight="1" s="18">
      <c r="A26" s="21" t="inlineStr">
        <is>
          <t>Lightning</t>
        </is>
      </c>
      <c r="B26" s="22" t="n">
        <v>0</v>
      </c>
      <c r="C26" s="46">
        <f>B26*$B$11</f>
        <v/>
      </c>
    </row>
    <row r="27" ht="15" customHeight="1" s="18">
      <c r="A27" s="21" t="inlineStr">
        <is>
          <t>Poison</t>
        </is>
      </c>
      <c r="B27" s="22" t="n">
        <v>0</v>
      </c>
      <c r="C27" s="46">
        <f>B27*$B$11</f>
        <v/>
      </c>
    </row>
    <row r="29" ht="15" customHeight="1" s="18">
      <c r="A29" s="20" t="inlineStr">
        <is>
          <t>Loadout &amp; Derived</t>
        </is>
      </c>
    </row>
    <row r="30" ht="15" customHeight="1" s="18">
      <c r="A30" s="21" t="inlineStr">
        <is>
          <t>Weapon Base Damage (physical)</t>
        </is>
      </c>
      <c r="B30" s="22" t="n">
        <v>15</v>
      </c>
    </row>
    <row r="31" ht="15" customHeight="1" s="18">
      <c r="A31" s="21" t="inlineStr">
        <is>
          <t>Skill Base Damage (elemental)</t>
        </is>
      </c>
      <c r="B31" s="22" t="n">
        <v>15</v>
      </c>
    </row>
    <row r="32" ht="15" customHeight="1" s="18">
      <c r="A32" s="21" t="inlineStr">
        <is>
          <t>Max HP</t>
        </is>
      </c>
      <c r="B32" s="46">
        <f>Constants!B34+C17*Constants!B35</f>
        <v/>
      </c>
    </row>
    <row r="34" ht="15" customHeight="1" s="18">
      <c r="A34" s="20" t="inlineStr">
        <is>
          <t>Weapon Speed &amp; Mastery (derived)</t>
        </is>
      </c>
    </row>
    <row r="35" ht="15" customHeight="1" s="18">
      <c r="A35" s="21" t="inlineStr">
        <is>
          <t>Base Weapon Cooldown (sec)</t>
        </is>
      </c>
      <c r="B35" s="46">
        <f>INDEX(Constants!B39:B47,MATCH(B6,Constants!A39:A47,0))</f>
        <v/>
      </c>
    </row>
    <row r="36" ht="15" customHeight="1" s="18">
      <c r="A36" s="21" t="inlineStr">
        <is>
          <t>Haste % (from AGI)</t>
        </is>
      </c>
      <c r="B36" s="49">
        <f>C19/(C19+Constants!B50)</f>
        <v/>
      </c>
    </row>
    <row r="37" ht="15" customHeight="1" s="18">
      <c r="A37" s="21" t="inlineStr">
        <is>
          <t>Dual-Wield CDR Bonus</t>
        </is>
      </c>
      <c r="B37" s="49">
        <f>IF(B7="Dual-Wield Weapon",Constants!B54+IF(B5="Melee DPS",Constants!B57,0),0)</f>
        <v/>
      </c>
    </row>
    <row r="38" ht="15" customHeight="1" s="18">
      <c r="A38" s="21" t="inlineStr">
        <is>
          <t>Total Cooldown Reduction %</t>
        </is>
      </c>
      <c r="B38" s="49">
        <f>MIN(B36+B37,Constants!B51)</f>
        <v/>
      </c>
    </row>
    <row r="39" ht="15" customHeight="1" s="18">
      <c r="A39" s="21" t="inlineStr">
        <is>
          <t>Effective Basic Attack Cooldown (sec)</t>
        </is>
      </c>
      <c r="B39" s="46">
        <f>B35*(1-B38)</f>
        <v/>
      </c>
    </row>
    <row r="40" ht="15" customHeight="1" s="18">
      <c r="A40" s="21" t="inlineStr">
        <is>
          <t>Attacks Per Second</t>
        </is>
      </c>
      <c r="B40" s="46">
        <f>1/B39</f>
        <v/>
      </c>
    </row>
    <row r="42" ht="15" customHeight="1" s="18">
      <c r="A42" s="21" t="inlineStr">
        <is>
          <t>Block Chance % (if Shield equipped)</t>
        </is>
      </c>
      <c r="B42" s="49">
        <f>IF(B7="Shield",Constants!B68+IF(B5="Tank",Constants!B58,0),0)</f>
        <v/>
      </c>
    </row>
    <row r="43" ht="15" customHeight="1" s="18">
      <c r="A43" s="21" t="inlineStr">
        <is>
          <t>Shield DEF Bonus (flat)</t>
        </is>
      </c>
      <c r="B43" s="46">
        <f>IF(B7="Shield",Constants!B69+IF(B5="Tank",Constants!B59,0),0)</f>
        <v/>
      </c>
    </row>
    <row r="44" ht="15" customHeight="1" s="18">
      <c r="A44" s="21" t="inlineStr">
        <is>
          <t>Ranged Bonus Crit Chance % (Bow)</t>
        </is>
      </c>
      <c r="B44" s="49">
        <f>IF(AND(B5="Ranged DPS",B6="Bow"),Constants!B60,0)</f>
        <v/>
      </c>
    </row>
    <row r="45" ht="15" customHeight="1" s="18">
      <c r="A45" s="21" t="inlineStr">
        <is>
          <t>Ranged Bonus Damage % (Bow)</t>
        </is>
      </c>
      <c r="B45" s="49">
        <f>IF(AND(B5="Ranged DPS",B6="Bow"),Constants!B61,0)</f>
        <v/>
      </c>
    </row>
    <row r="46" ht="15" customHeight="1" s="18">
      <c r="A46" s="21" t="inlineStr">
        <is>
          <t>Caster Bonus Damage % (Staff)</t>
        </is>
      </c>
      <c r="B46" s="49">
        <f>IF(AND(B5="Caster DPS",B6="Staff"),Constants!B62,0)</f>
        <v/>
      </c>
    </row>
    <row r="47" ht="15" customHeight="1" s="18">
      <c r="A47" s="21" t="inlineStr">
        <is>
          <t>Caster Bonus Crit % (Staff)</t>
        </is>
      </c>
      <c r="B47" s="49">
        <f>IF(AND(B5="Caster DPS",B6="Staff"),Constants!B63,0)</f>
        <v/>
      </c>
    </row>
    <row r="48" ht="15" customHeight="1" s="18">
      <c r="A48" s="21" t="inlineStr">
        <is>
          <t>Caster Bonus Penetration % (Staff)</t>
        </is>
      </c>
      <c r="B48" s="49">
        <f>IF(AND(B5="Caster DPS",B6="Staff"),Constants!B64,0)</f>
        <v/>
      </c>
    </row>
    <row r="49" ht="15" customHeight="1" s="18">
      <c r="A49" s="21" t="inlineStr">
        <is>
          <t>Support Buff Potency % (Tome)</t>
        </is>
      </c>
      <c r="B49" s="49">
        <f>IF(AND(B5="Support",B6="Tome"),Constants!B65,0)</f>
        <v/>
      </c>
    </row>
    <row r="51" ht="15" customHeight="1" s="18">
      <c r="A51" s="21" t="inlineStr">
        <is>
          <t>Crit Chance %</t>
        </is>
      </c>
      <c r="B51" s="49">
        <f>Constants!B12+(C20/(C20+Constants!B14))*Constants!B13+B44+B47</f>
        <v/>
      </c>
    </row>
    <row r="52" ht="15" customHeight="1" s="18">
      <c r="A52" s="21" t="inlineStr">
        <is>
          <t>Crit Multiplier</t>
        </is>
      </c>
      <c r="B52" s="46">
        <f>Constants!B15+(C20/(C20+Constants!B17))*Constants!B16</f>
        <v/>
      </c>
    </row>
    <row r="54" ht="15" customHeight="1" s="18">
      <c r="A54" s="23" t="inlineStr">
        <is>
          <t>Legend: yellow cells are inputs. Same formulas and mastery system as PlayerBuild — Difficulty Multiplier plays the role Prestige Multiplier plays for the player.</t>
        </is>
      </c>
    </row>
  </sheetData>
  <mergeCells count="7">
    <mergeCell ref="A13:C13"/>
    <mergeCell ref="A1:C1"/>
    <mergeCell ref="A2:C2"/>
    <mergeCell ref="A22:C22"/>
    <mergeCell ref="A34:C34"/>
    <mergeCell ref="A29:C29"/>
    <mergeCell ref="A54:C54"/>
  </mergeCells>
  <dataValidations count="5">
    <dataValidation sqref="B5" showDropDown="0" showInputMessage="0" showErrorMessage="0" allowBlank="0" type="list" errorStyle="stop" operator="between">
      <formula1>"Melee DPS,Tank,Ranged DPS,Caster DPS,Support"</formula1>
      <formula2>0</formula2>
    </dataValidation>
    <dataValidation sqref="B6" showDropDown="0" showInputMessage="0" showErrorMessage="0" allowBlank="0" type="list" errorStyle="stop" operator="between">
      <formula1>"Dagger,Wand,Sword,Bow,Axe,Mace,Staff,Tome,Greatsword"</formula1>
      <formula2>0</formula2>
    </dataValidation>
    <dataValidation sqref="B7" showDropDown="0" showInputMessage="0" showErrorMessage="0" allowBlank="0" type="list" errorStyle="stop" operator="between">
      <formula1>"Dual-Wield Weapon,Shield,None"</formula1>
      <formula2>0</formula2>
    </dataValidation>
    <dataValidation sqref="B8" showDropDown="0" showInputMessage="0" showErrorMessage="0" allowBlank="0" type="list" errorStyle="stop" operator="between">
      <formula1>"Physical,Fire,Ice,Lightning,Poison"</formula1>
      <formula2>0</formula2>
    </dataValidation>
    <dataValidation sqref="B9" showDropDown="0" showInputMessage="0" showErrorMessage="0" allowBlank="0" type="list" errorStyle="stop" operator="between">
      <formula1>"Weak,Neutral,Resistant,Immune"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7" min="1" max="1"/>
    <col width="24" customWidth="1" style="17" min="2" max="2"/>
  </cols>
  <sheetData>
    <row r="1" ht="21.75" customHeight="1" s="18">
      <c r="A1" s="19" t="inlineStr">
        <is>
          <t>DAMAGE &amp; TTK CALCULATOR</t>
        </is>
      </c>
    </row>
    <row r="3" ht="15" customHeight="1" s="18">
      <c r="A3" s="20" t="inlineStr">
        <is>
          <t>Physical Attack — Player vs Enemy</t>
        </is>
      </c>
    </row>
    <row r="4" ht="15" customHeight="1" s="18">
      <c r="A4" s="21" t="inlineStr">
        <is>
          <t>Raw Damage</t>
        </is>
      </c>
      <c r="B4" s="46">
        <f>PlayerBuild!B26*(1+PlayerBuild!E11/Constants!B30)</f>
        <v/>
      </c>
    </row>
    <row r="5" ht="15" customHeight="1" s="18">
      <c r="A5" s="21" t="inlineStr">
        <is>
          <t>Mitigation %</t>
        </is>
      </c>
      <c r="B5" s="49">
        <f>EnemyBuild!C18/(EnemyBuild!C18+Constants!B4)</f>
        <v/>
      </c>
    </row>
    <row r="6" ht="15" customHeight="1" s="18">
      <c r="A6" s="21" t="inlineStr">
        <is>
          <t>Mitigated Damage</t>
        </is>
      </c>
      <c r="B6" s="46">
        <f>B4*(1-B5)</f>
        <v/>
      </c>
    </row>
    <row r="7" ht="15" customHeight="1" s="18">
      <c r="A7" s="21" t="inlineStr">
        <is>
          <t>Type Multiplier</t>
        </is>
      </c>
      <c r="B7" s="46">
        <f>IF(EnemyBuild!B9="Weak",Constants!B20,IF(EnemyBuild!B9="Resistant",Constants!B22,IF(EnemyBuild!B9="Immune",Constants!B23,Constants!B21)))</f>
        <v/>
      </c>
    </row>
    <row r="8" ht="15" customHeight="1" s="18">
      <c r="A8" s="21" t="inlineStr">
        <is>
          <t>Typed Damage</t>
        </is>
      </c>
      <c r="B8" s="46">
        <f>B6*B7</f>
        <v/>
      </c>
    </row>
    <row r="9" ht="15" customHeight="1" s="18">
      <c r="A9" s="21" t="inlineStr">
        <is>
          <t>Crit Chance %</t>
        </is>
      </c>
      <c r="B9" s="49">
        <f>Constants!B12+(PlayerBuild!E16/(PlayerBuild!E16+Constants!B14))*Constants!B13+PlayerBuild!B41</f>
        <v/>
      </c>
    </row>
    <row r="10" ht="15" customHeight="1" s="18">
      <c r="A10" s="21" t="inlineStr">
        <is>
          <t>Crit Multiplier</t>
        </is>
      </c>
      <c r="B10" s="46">
        <f>Constants!B15+(PlayerBuild!E16/(PlayerBuild!E16+Constants!B17))*Constants!B16</f>
        <v/>
      </c>
    </row>
    <row r="11" ht="15" customHeight="1" s="18">
      <c r="A11" s="21" t="inlineStr">
        <is>
          <t>Average Damage (crit-weighted)</t>
        </is>
      </c>
      <c r="B11" s="46">
        <f>B8*(1+B9*(B10-1))</f>
        <v/>
      </c>
    </row>
    <row r="12" ht="15" customHeight="1" s="18">
      <c r="A12" s="21" t="inlineStr">
        <is>
          <t>Ranged Damage Bonus Multiplier</t>
        </is>
      </c>
      <c r="B12" s="51">
        <f>1+PlayerBuild!B42</f>
        <v/>
      </c>
    </row>
    <row r="13" ht="15" customHeight="1" s="18">
      <c r="A13" s="21" t="inlineStr">
        <is>
          <t>Prestige Multiplier</t>
        </is>
      </c>
      <c r="B13" s="46">
        <f>PlayerBuild!B29</f>
        <v/>
      </c>
    </row>
    <row r="14" ht="15" customHeight="1" s="18">
      <c r="A14" s="21" t="inlineStr">
        <is>
          <t>Final Average Damage / Hit</t>
        </is>
      </c>
      <c r="B14" s="46">
        <f>B11*B12*B13</f>
        <v/>
      </c>
    </row>
    <row r="15" ht="15" customHeight="1" s="18">
      <c r="A15" s="21" t="inlineStr">
        <is>
          <t>Attacks Per Second</t>
        </is>
      </c>
      <c r="B15" s="46">
        <f>PlayerBuild!B37</f>
        <v/>
      </c>
    </row>
    <row r="16" ht="15" customHeight="1" s="18">
      <c r="A16" s="21" t="inlineStr">
        <is>
          <t>DPS (Physical)</t>
        </is>
      </c>
      <c r="B16" s="46">
        <f>B14*B15</f>
        <v/>
      </c>
    </row>
    <row r="17" ht="15" customHeight="1" s="18">
      <c r="A17" s="21" t="inlineStr">
        <is>
          <t>Enemy HP (scaled)</t>
        </is>
      </c>
      <c r="B17" s="46">
        <f>EnemyBuild!B32</f>
        <v/>
      </c>
    </row>
    <row r="18" ht="15" customHeight="1" s="18">
      <c r="A18" s="21" t="inlineStr">
        <is>
          <t>Time to Kill (sec)</t>
        </is>
      </c>
      <c r="B18" s="46">
        <f>B17/B16</f>
        <v/>
      </c>
    </row>
    <row r="19" ht="15" customHeight="1" s="18">
      <c r="A19" s="21" t="inlineStr">
        <is>
          <t>Hits to Kill (reference)</t>
        </is>
      </c>
      <c r="B19" s="46">
        <f>ROUNDUP(B17/B14,0)</f>
        <v/>
      </c>
    </row>
    <row r="20" ht="15" customHeight="1" s="18">
      <c r="A20" s="21" t="inlineStr">
        <is>
          <t>Target Check</t>
        </is>
      </c>
      <c r="B20" s="52">
        <f>IF(AND(B19&gt;=4,B19&lt;=8),"In target range (4-8 hits)","Outside target range (4-8 hits)")</f>
        <v/>
      </c>
    </row>
    <row r="22" ht="15" customHeight="1" s="18">
      <c r="A22" s="20" t="inlineStr">
        <is>
          <t>Elemental Attack — Player vs Enemy</t>
        </is>
      </c>
    </row>
    <row r="23" ht="15" customHeight="1" s="18">
      <c r="A23" s="21" t="inlineStr">
        <is>
          <t>Raw Damage</t>
        </is>
      </c>
      <c r="B23" s="46">
        <f>PlayerBuild!B27*(1+PlayerBuild!E12/Constants!B31)</f>
        <v/>
      </c>
    </row>
    <row r="24" ht="15" customHeight="1" s="18">
      <c r="A24" s="21" t="inlineStr">
        <is>
          <t>Enemy RES (matching Skill Element)</t>
        </is>
      </c>
      <c r="B24" s="46">
        <f>IF(PlayerBuild!B50="Fire",EnemyBuild!C24,IF(PlayerBuild!B50="Ice",EnemyBuild!C25,IF(PlayerBuild!B50="Lightning",EnemyBuild!C26,EnemyBuild!C27)))</f>
        <v/>
      </c>
    </row>
    <row r="25" ht="15" customHeight="1" s="18">
      <c r="A25" s="21" t="inlineStr">
        <is>
          <t>Elemental Penetration %</t>
        </is>
      </c>
      <c r="B25" s="49">
        <f>PlayerBuild!B45</f>
        <v/>
      </c>
    </row>
    <row r="26" ht="15" customHeight="1" s="18">
      <c r="A26" s="21" t="inlineStr">
        <is>
          <t>Effective Enemy RES (after Penetration)</t>
        </is>
      </c>
      <c r="B26" s="46">
        <f>B24*(1-B25)</f>
        <v/>
      </c>
    </row>
    <row r="27" ht="15" customHeight="1" s="18">
      <c r="A27" s="21" t="inlineStr">
        <is>
          <t>Mitigation %</t>
        </is>
      </c>
      <c r="B27" s="49">
        <f>B26/(B26+Constants!B5)</f>
        <v/>
      </c>
    </row>
    <row r="28" ht="15" customHeight="1" s="18">
      <c r="A28" s="21" t="inlineStr">
        <is>
          <t>Mitigated Damage</t>
        </is>
      </c>
      <c r="B28" s="46">
        <f>B23*(1-B27)</f>
        <v/>
      </c>
    </row>
    <row r="29" ht="15" customHeight="1" s="18">
      <c r="A29" s="21" t="inlineStr">
        <is>
          <t>Type Multiplier</t>
        </is>
      </c>
      <c r="B29" s="46">
        <f>B7</f>
        <v/>
      </c>
    </row>
    <row r="30" ht="15" customHeight="1" s="18">
      <c r="A30" s="21" t="inlineStr">
        <is>
          <t>Typed Damage</t>
        </is>
      </c>
      <c r="B30" s="46">
        <f>B28*B29</f>
        <v/>
      </c>
    </row>
    <row r="31" ht="15" customHeight="1" s="18">
      <c r="A31" s="21" t="inlineStr">
        <is>
          <t>Elemental Crit Chance %</t>
        </is>
      </c>
      <c r="B31" s="49">
        <f>Constants!B12+(PlayerBuild!E16/(PlayerBuild!E16+Constants!B14))*Constants!B13+PlayerBuild!B44</f>
        <v/>
      </c>
    </row>
    <row r="32" ht="15" customHeight="1" s="18">
      <c r="A32" s="21" t="inlineStr">
        <is>
          <t>Elemental Crit Multiplier</t>
        </is>
      </c>
      <c r="B32" s="46">
        <f>Constants!B15+(PlayerBuild!E16/(PlayerBuild!E16+Constants!B17))*Constants!B16</f>
        <v/>
      </c>
    </row>
    <row r="33" ht="15" customHeight="1" s="18">
      <c r="A33" s="21" t="inlineStr">
        <is>
          <t>Average Damage (crit-weighted)</t>
        </is>
      </c>
      <c r="B33" s="46">
        <f>B30*(1+B31*(B32-1))</f>
        <v/>
      </c>
    </row>
    <row r="34" ht="15" customHeight="1" s="18">
      <c r="A34" s="21" t="inlineStr">
        <is>
          <t>Caster Damage Bonus Multiplier</t>
        </is>
      </c>
      <c r="B34" s="51">
        <f>1+PlayerBuild!B43</f>
        <v/>
      </c>
    </row>
    <row r="35" ht="15" customHeight="1" s="18">
      <c r="A35" s="21" t="inlineStr">
        <is>
          <t>Prestige Multiplier</t>
        </is>
      </c>
      <c r="B35" s="46">
        <f>B13</f>
        <v/>
      </c>
    </row>
    <row r="36" ht="15" customHeight="1" s="18">
      <c r="A36" s="21" t="inlineStr">
        <is>
          <t>Final Average Damage / Hit</t>
        </is>
      </c>
      <c r="B36" s="46">
        <f>B33*B34*B35</f>
        <v/>
      </c>
    </row>
    <row r="37" ht="15" customHeight="1" s="18">
      <c r="A37" s="21" t="inlineStr">
        <is>
          <t>Attacks Per Second</t>
        </is>
      </c>
      <c r="B37" s="46">
        <f>PlayerBuild!B37</f>
        <v/>
      </c>
    </row>
    <row r="38" ht="15" customHeight="1" s="18">
      <c r="A38" s="21" t="inlineStr">
        <is>
          <t>DPS (Elemental)</t>
        </is>
      </c>
      <c r="B38" s="46">
        <f>B36*B37</f>
        <v/>
      </c>
    </row>
    <row r="39" ht="15" customHeight="1" s="18">
      <c r="A39" s="21" t="inlineStr">
        <is>
          <t>Enemy HP (scaled)</t>
        </is>
      </c>
      <c r="B39" s="46">
        <f>B17</f>
        <v/>
      </c>
    </row>
    <row r="40" ht="15" customHeight="1" s="18">
      <c r="A40" s="21" t="inlineStr">
        <is>
          <t>Time to Kill (sec)</t>
        </is>
      </c>
      <c r="B40" s="46">
        <f>B39/B38</f>
        <v/>
      </c>
    </row>
    <row r="41" ht="15" customHeight="1" s="18">
      <c r="A41" s="21" t="inlineStr">
        <is>
          <t>Hits to Kill (reference)</t>
        </is>
      </c>
      <c r="B41" s="46">
        <f>ROUNDUP(B39/B36,0)</f>
        <v/>
      </c>
    </row>
    <row r="42" ht="15" customHeight="1" s="18">
      <c r="A42" s="21" t="inlineStr">
        <is>
          <t>Target Check</t>
        </is>
      </c>
      <c r="B42" s="52">
        <f>IF(AND(B41&gt;=4,B41&lt;=8),"In target range (4-8 hits)","Outside target range (4-8 hits)")</f>
        <v/>
      </c>
    </row>
    <row r="44" ht="15" customHeight="1" s="18">
      <c r="A44" s="20" t="inlineStr">
        <is>
          <t>Enemy Attack — Enemy vs Player</t>
        </is>
      </c>
    </row>
    <row r="45" ht="15" customHeight="1" s="18">
      <c r="A45" s="21" t="inlineStr">
        <is>
          <t>Enemy Attack Element</t>
        </is>
      </c>
      <c r="B45" s="46">
        <f>EnemyBuild!B8</f>
        <v/>
      </c>
    </row>
    <row r="46" ht="15" customHeight="1" s="18">
      <c r="A46" s="21" t="inlineStr">
        <is>
          <t>Enemy Raw Damage</t>
        </is>
      </c>
      <c r="B46" s="46">
        <f>IF(B45="Physical",EnemyBuild!B30*(1+EnemyBuild!C15/Constants!B30),EnemyBuild!B31*(1+EnemyBuild!C16/Constants!B31))</f>
        <v/>
      </c>
    </row>
    <row r="47" ht="15" customHeight="1" s="18">
      <c r="A47" s="21" t="inlineStr">
        <is>
          <t>Player Mitigating Stat</t>
        </is>
      </c>
      <c r="B47" s="46">
        <f>IF(B45="Physical",PlayerBuild!E14+PlayerBuild!B40,IF(B45="Fire",PlayerBuild!E20,IF(B45="Ice",PlayerBuild!E21,IF(B45="Lightning",PlayerBuild!E22,IF(B45="Poison",PlayerBuild!E23,PlayerBuild!E14+PlayerBuild!B40)))))</f>
        <v/>
      </c>
    </row>
    <row r="48" ht="15" customHeight="1" s="18">
      <c r="A48" s="21" t="inlineStr">
        <is>
          <t>Mitigation Constant Used</t>
        </is>
      </c>
      <c r="B48" s="46">
        <f>IF(B45="Physical",Constants!B4,Constants!B5)</f>
        <v/>
      </c>
    </row>
    <row r="49" ht="15" customHeight="1" s="18">
      <c r="A49" s="21" t="inlineStr">
        <is>
          <t>Mitigation %</t>
        </is>
      </c>
      <c r="B49" s="49">
        <f>B47/(B47+B48)</f>
        <v/>
      </c>
    </row>
    <row r="50" ht="15" customHeight="1" s="18">
      <c r="A50" s="21" t="inlineStr">
        <is>
          <t>Mitigated Damage</t>
        </is>
      </c>
      <c r="B50" s="46">
        <f>B46*(1-B49)</f>
        <v/>
      </c>
    </row>
    <row r="51" ht="15" customHeight="1" s="18">
      <c r="A51" s="21" t="inlineStr">
        <is>
          <t>Enemy Crit Chance %</t>
        </is>
      </c>
      <c r="B51" s="49">
        <f>EnemyBuild!B51</f>
        <v/>
      </c>
    </row>
    <row r="52" ht="15" customHeight="1" s="18">
      <c r="A52" s="21" t="inlineStr">
        <is>
          <t>Enemy Crit Multiplier</t>
        </is>
      </c>
      <c r="B52" s="46">
        <f>EnemyBuild!B52</f>
        <v/>
      </c>
    </row>
    <row r="53" ht="15" customHeight="1" s="18">
      <c r="A53" s="21" t="inlineStr">
        <is>
          <t>Average Damage (crit-weighted)</t>
        </is>
      </c>
      <c r="B53" s="46">
        <f>B50*(1+B51*(B52-1))</f>
        <v/>
      </c>
    </row>
    <row r="54" ht="15" customHeight="1" s="18">
      <c r="A54" s="21" t="inlineStr">
        <is>
          <t>Difficulty Multiplier</t>
        </is>
      </c>
      <c r="B54" s="46">
        <f>EnemyBuild!B11</f>
        <v/>
      </c>
    </row>
    <row r="55" ht="15" customHeight="1" s="18">
      <c r="A55" s="21" t="inlineStr">
        <is>
          <t>Final Average Damage / Hit</t>
        </is>
      </c>
      <c r="B55" s="46">
        <f>B53*B54</f>
        <v/>
      </c>
    </row>
    <row r="56" ht="15" customHeight="1" s="18">
      <c r="A56" s="21" t="inlineStr">
        <is>
          <t>Block Chance %</t>
        </is>
      </c>
      <c r="B56" s="49">
        <f>PlayerBuild!B39</f>
        <v/>
      </c>
    </row>
    <row r="57" ht="15" customHeight="1" s="18">
      <c r="A57" s="21" t="inlineStr">
        <is>
          <t>Block Damage Reduction</t>
        </is>
      </c>
      <c r="B57" s="49">
        <f>Constants!B70</f>
        <v/>
      </c>
    </row>
    <row r="58" ht="15" customHeight="1" s="18">
      <c r="A58" s="21" t="inlineStr">
        <is>
          <t>Effective Multiplier After Block</t>
        </is>
      </c>
      <c r="B58" s="46">
        <f>1-(B56*B57)</f>
        <v/>
      </c>
    </row>
    <row r="59" ht="15" customHeight="1" s="18">
      <c r="A59" s="21" t="inlineStr">
        <is>
          <t>Damage Taken per Hit</t>
        </is>
      </c>
      <c r="B59" s="46">
        <f>B55*B58</f>
        <v/>
      </c>
    </row>
    <row r="60" ht="15" customHeight="1" s="18">
      <c r="A60" s="21" t="inlineStr">
        <is>
          <t>Enemy Attacks Per Second</t>
        </is>
      </c>
      <c r="B60" s="46">
        <f>EnemyBuild!B40</f>
        <v/>
      </c>
    </row>
    <row r="61" ht="15" customHeight="1" s="18">
      <c r="A61" s="21" t="inlineStr">
        <is>
          <t>DPS Taken</t>
        </is>
      </c>
      <c r="B61" s="46">
        <f>B59*B60</f>
        <v/>
      </c>
    </row>
    <row r="62" ht="15" customHeight="1" s="18">
      <c r="A62" s="21" t="inlineStr">
        <is>
          <t>Player Max HP</t>
        </is>
      </c>
      <c r="B62" s="46">
        <f>PlayerBuild!B28</f>
        <v/>
      </c>
    </row>
    <row r="63" ht="15" customHeight="1" s="18">
      <c r="A63" s="21" t="inlineStr">
        <is>
          <t>Time to Die (sec)</t>
        </is>
      </c>
      <c r="B63" s="46">
        <f>B62/B61</f>
        <v/>
      </c>
    </row>
    <row r="64" ht="15" customHeight="1" s="18">
      <c r="A64" s="21" t="inlineStr">
        <is>
          <t>Hits to Die (reference)</t>
        </is>
      </c>
      <c r="B64" s="46">
        <f>ROUNDUP(B62/B59,0)</f>
        <v/>
      </c>
    </row>
    <row r="65" ht="15" customHeight="1" s="18">
      <c r="A65" s="21" t="inlineStr">
        <is>
          <t>Target Check</t>
        </is>
      </c>
      <c r="B65" s="52">
        <f>IF(B64&gt;=10,"Forgiving (10+ hits)","Below target (&lt;10 hits)")</f>
        <v/>
      </c>
    </row>
    <row r="67" ht="15" customHeight="1" s="18">
      <c r="A67" s="23" t="inlineStr">
        <is>
          <t>Note: shows average-case damage (no per-hit variance/block RNG). Support's Buff Potency mastery isn't shown here — it modifies buff/heal strength (§10), not raw damage, so it doesn't appear in this damage-focused calculator.</t>
        </is>
      </c>
    </row>
  </sheetData>
  <mergeCells count="5">
    <mergeCell ref="A44:B44"/>
    <mergeCell ref="A1:B1"/>
    <mergeCell ref="A67:B67"/>
    <mergeCell ref="A3:B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7" min="1" max="1"/>
    <col width="18" customWidth="1" style="17" min="2" max="5"/>
  </cols>
  <sheetData>
    <row r="1" ht="21.75" customHeight="1" s="18">
      <c r="A1" s="19" t="inlineStr">
        <is>
          <t>EXPERIENCE &amp; LEVELING</t>
        </is>
      </c>
    </row>
    <row r="2" ht="15" customHeight="1" s="18">
      <c r="A2" s="23" t="inlineStr">
        <is>
          <t>XPRequired(Level,Loop) = XPBase × (1+XPGrowth)^(Level-1) × (1+d)^Loop. Reuses Constants!d and Constants!r so leveling scales with combat difficulty/prestige.</t>
        </is>
      </c>
    </row>
    <row r="4" ht="15" customHeight="1" s="18">
      <c r="A4" s="20" t="inlineStr">
        <is>
          <t>Sample XP-Per-Level</t>
        </is>
      </c>
    </row>
    <row r="5" ht="15" customHeight="1" s="18">
      <c r="A5" s="21" t="inlineStr">
        <is>
          <t>Loop N (for this table)</t>
        </is>
      </c>
      <c r="B5" s="22" t="n">
        <v>0</v>
      </c>
    </row>
    <row r="7" ht="15" customHeight="1" s="18">
      <c r="A7" s="25" t="inlineStr">
        <is>
          <t>Level</t>
        </is>
      </c>
      <c r="B7" s="25" t="inlineStr">
        <is>
          <t>XP Required (this level)</t>
        </is>
      </c>
    </row>
    <row r="8" ht="15" customHeight="1" s="18">
      <c r="A8" s="21" t="n">
        <v>1</v>
      </c>
      <c r="B8" s="53">
        <f>Constants!$B$73*(1+Constants!$B$74)^(A8-1)*(1+Constants!$B$27)^$B$5</f>
        <v/>
      </c>
    </row>
    <row r="9" ht="15" customHeight="1" s="18">
      <c r="A9" s="21" t="n">
        <v>10</v>
      </c>
      <c r="B9" s="53">
        <f>Constants!$B$73*(1+Constants!$B$74)^(A9-1)*(1+Constants!$B$27)^$B$5</f>
        <v/>
      </c>
    </row>
    <row r="10" ht="15" customHeight="1" s="18">
      <c r="A10" s="21" t="n">
        <v>25</v>
      </c>
      <c r="B10" s="53">
        <f>Constants!$B$73*(1+Constants!$B$74)^(A10-1)*(1+Constants!$B$27)^$B$5</f>
        <v/>
      </c>
    </row>
    <row r="11" ht="15" customHeight="1" s="18">
      <c r="A11" s="21" t="n">
        <v>50</v>
      </c>
      <c r="B11" s="53">
        <f>Constants!$B$73*(1+Constants!$B$74)^(A11-1)*(1+Constants!$B$27)^$B$5</f>
        <v/>
      </c>
    </row>
    <row r="12" ht="15" customHeight="1" s="18">
      <c r="A12" s="21" t="n">
        <v>75</v>
      </c>
      <c r="B12" s="53">
        <f>Constants!$B$73*(1+Constants!$B$74)^(A12-1)*(1+Constants!$B$27)^$B$5</f>
        <v/>
      </c>
    </row>
    <row r="13" ht="15" customHeight="1" s="18">
      <c r="A13" s="21" t="n">
        <v>100</v>
      </c>
      <c r="B13" s="53">
        <f>Constants!$B$73*(1+Constants!$B$74)^(A13-1)*(1+Constants!$B$27)^$B$5</f>
        <v/>
      </c>
    </row>
    <row r="14" ht="15" customHeight="1" s="18">
      <c r="A14" s="21" t="n">
        <v>150</v>
      </c>
      <c r="B14" s="53">
        <f>Constants!$B$73*(1+Constants!$B$74)^(A14-1)*(1+Constants!$B$27)^$B$5</f>
        <v/>
      </c>
    </row>
    <row r="15" ht="15" customHeight="1" s="18">
      <c r="A15" s="21" t="n">
        <v>200</v>
      </c>
      <c r="B15" s="53">
        <f>Constants!$B$73*(1+Constants!$B$74)^(A15-1)*(1+Constants!$B$27)^$B$5</f>
        <v/>
      </c>
    </row>
    <row r="16" ht="15" customHeight="1" s="18">
      <c r="A16" s="21" t="n">
        <v>250</v>
      </c>
      <c r="B16" s="53">
        <f>Constants!$B$73*(1+Constants!$B$74)^(A16-1)*(1+Constants!$B$27)^$B$5</f>
        <v/>
      </c>
    </row>
    <row r="17" ht="15" customHeight="1" s="18">
      <c r="A17" s="21" t="n">
        <v>300</v>
      </c>
      <c r="B17" s="53">
        <f>Constants!$B$73*(1+Constants!$B$74)^(A17-1)*(1+Constants!$B$27)^$B$5</f>
        <v/>
      </c>
    </row>
    <row r="19" ht="15" customHeight="1" s="18">
      <c r="A19" s="20" t="inlineStr">
        <is>
          <t>Total XP to Level Cap (per Loop)</t>
        </is>
      </c>
    </row>
    <row r="20" ht="15" customHeight="1" s="18">
      <c r="A20" s="25" t="inlineStr">
        <is>
          <t>Loop N</t>
        </is>
      </c>
      <c r="B20" s="25" t="inlineStr">
        <is>
          <t>Total XP to Cap</t>
        </is>
      </c>
    </row>
    <row r="21" ht="15" customHeight="1" s="18">
      <c r="A21" s="21" t="n">
        <v>0</v>
      </c>
      <c r="B21" s="53">
        <f>Constants!$B$73*(1+Constants!$B$27)^A21*((1+Constants!$B$74)^Constants!$B$75-1)/Constants!$B$74</f>
        <v/>
      </c>
    </row>
    <row r="22" ht="15" customHeight="1" s="18">
      <c r="A22" s="21" t="n">
        <v>1</v>
      </c>
      <c r="B22" s="53">
        <f>Constants!$B$73*(1+Constants!$B$27)^A22*((1+Constants!$B$74)^Constants!$B$75-1)/Constants!$B$74</f>
        <v/>
      </c>
    </row>
    <row r="23" ht="15" customHeight="1" s="18">
      <c r="A23" s="21" t="n">
        <v>2</v>
      </c>
      <c r="B23" s="53">
        <f>Constants!$B$73*(1+Constants!$B$27)^A23*((1+Constants!$B$74)^Constants!$B$75-1)/Constants!$B$74</f>
        <v/>
      </c>
    </row>
    <row r="24" ht="15" customHeight="1" s="18">
      <c r="A24" s="21" t="n">
        <v>3</v>
      </c>
      <c r="B24" s="53">
        <f>Constants!$B$73*(1+Constants!$B$27)^A24*((1+Constants!$B$74)^Constants!$B$75-1)/Constants!$B$74</f>
        <v/>
      </c>
    </row>
    <row r="25" ht="15" customHeight="1" s="18">
      <c r="A25" s="21" t="n">
        <v>4</v>
      </c>
      <c r="B25" s="53">
        <f>Constants!$B$73*(1+Constants!$B$27)^A25*((1+Constants!$B$74)^Constants!$B$75-1)/Constants!$B$74</f>
        <v/>
      </c>
    </row>
    <row r="26" ht="15" customHeight="1" s="18">
      <c r="A26" s="21" t="n">
        <v>5</v>
      </c>
      <c r="B26" s="53">
        <f>Constants!$B$73*(1+Constants!$B$27)^A26*((1+Constants!$B$74)^Constants!$B$75-1)/Constants!$B$74</f>
        <v/>
      </c>
    </row>
    <row r="28" ht="15" customHeight="1" s="18">
      <c r="A28" s="20" t="inlineStr">
        <is>
          <t>Pacing Calculator (Loop 0)</t>
        </is>
      </c>
    </row>
    <row r="29" ht="15" customHeight="1" s="18">
      <c r="A29" s="21" t="inlineStr">
        <is>
          <t>Daily Kill Capacity</t>
        </is>
      </c>
      <c r="B29" s="46">
        <f>Constants!B83*Constants!B85+Constants!B84*Constants!B86</f>
        <v/>
      </c>
    </row>
    <row r="30" ht="15" customHeight="1" s="18">
      <c r="A30" s="21" t="inlineStr">
        <is>
          <t>Total Kills to Cap (approx)</t>
        </is>
      </c>
      <c r="B30" s="46">
        <f>Constants!B75*Constants!B76</f>
        <v/>
      </c>
    </row>
    <row r="31" ht="15" customHeight="1" s="18">
      <c r="A31" s="21" t="inlineStr">
        <is>
          <t>Implied Days to Cap (Loop 0)</t>
        </is>
      </c>
      <c r="B31" s="54">
        <f>B30/B29</f>
        <v/>
      </c>
    </row>
    <row r="32" ht="15" customHeight="1" s="18">
      <c r="A32" s="21" t="inlineStr">
        <is>
          <t>Target Days to Rebirth</t>
        </is>
      </c>
      <c r="B32" s="46">
        <f>Constants!B87</f>
        <v/>
      </c>
    </row>
    <row r="33" ht="15" customHeight="1" s="18">
      <c r="A33" s="21" t="inlineStr">
        <is>
          <t>Target Check</t>
        </is>
      </c>
      <c r="B33" s="52">
        <f>IF(ABS(B31-B32)&lt;=B32*0.15,"Within 15% of target — good calibration","Adjust KillsPerLevel or kill-rate assumptions")</f>
        <v/>
      </c>
    </row>
    <row r="35" ht="15" customHeight="1" s="18">
      <c r="A35" s="20" t="inlineStr">
        <is>
          <t>Rebirth Pacing Projection</t>
        </is>
      </c>
    </row>
    <row r="36" ht="15" customHeight="1" s="18">
      <c r="A36" s="25" t="inlineStr">
        <is>
          <t>Loop N</t>
        </is>
      </c>
      <c r="B36" s="25" t="inlineStr">
        <is>
          <t>Difficulty Mult (1+d)^N</t>
        </is>
      </c>
      <c r="C36" s="25" t="inlineStr">
        <is>
          <t>Prestige Mult (1+r)^N</t>
        </is>
      </c>
      <c r="D36" s="25" t="inlineStr">
        <is>
          <t>Relative Slowdown</t>
        </is>
      </c>
      <c r="E36" s="25" t="inlineStr">
        <is>
          <t>Implied Days (this loop)</t>
        </is>
      </c>
    </row>
    <row r="37" ht="15" customHeight="1" s="18">
      <c r="A37" s="21" t="n">
        <v>0</v>
      </c>
      <c r="B37" s="55">
        <f>(1+Constants!$B$27)^A37</f>
        <v/>
      </c>
      <c r="C37" s="55">
        <f>(1+Constants!$B$26)^A37</f>
        <v/>
      </c>
      <c r="D37" s="55">
        <f>((1+Constants!$B$27)/(1+Constants!$B$26))^A37</f>
        <v/>
      </c>
      <c r="E37" s="54">
        <f>$B$31*D37</f>
        <v/>
      </c>
    </row>
    <row r="38" ht="15" customHeight="1" s="18">
      <c r="A38" s="21" t="n">
        <v>1</v>
      </c>
      <c r="B38" s="55">
        <f>(1+Constants!$B$27)^A38</f>
        <v/>
      </c>
      <c r="C38" s="55">
        <f>(1+Constants!$B$26)^A38</f>
        <v/>
      </c>
      <c r="D38" s="55">
        <f>((1+Constants!$B$27)/(1+Constants!$B$26))^A38</f>
        <v/>
      </c>
      <c r="E38" s="54">
        <f>$B$31*D38</f>
        <v/>
      </c>
    </row>
    <row r="39" ht="15" customHeight="1" s="18">
      <c r="A39" s="21" t="n">
        <v>2</v>
      </c>
      <c r="B39" s="55">
        <f>(1+Constants!$B$27)^A39</f>
        <v/>
      </c>
      <c r="C39" s="55">
        <f>(1+Constants!$B$26)^A39</f>
        <v/>
      </c>
      <c r="D39" s="55">
        <f>((1+Constants!$B$27)/(1+Constants!$B$26))^A39</f>
        <v/>
      </c>
      <c r="E39" s="54">
        <f>$B$31*D39</f>
        <v/>
      </c>
    </row>
    <row r="40" ht="15" customHeight="1" s="18">
      <c r="A40" s="21" t="n">
        <v>3</v>
      </c>
      <c r="B40" s="55">
        <f>(1+Constants!$B$27)^A40</f>
        <v/>
      </c>
      <c r="C40" s="55">
        <f>(1+Constants!$B$26)^A40</f>
        <v/>
      </c>
      <c r="D40" s="55">
        <f>((1+Constants!$B$27)/(1+Constants!$B$26))^A40</f>
        <v/>
      </c>
      <c r="E40" s="54">
        <f>$B$31*D40</f>
        <v/>
      </c>
    </row>
    <row r="41" ht="15" customHeight="1" s="18">
      <c r="A41" s="21" t="n">
        <v>4</v>
      </c>
      <c r="B41" s="55">
        <f>(1+Constants!$B$27)^A41</f>
        <v/>
      </c>
      <c r="C41" s="55">
        <f>(1+Constants!$B$26)^A41</f>
        <v/>
      </c>
      <c r="D41" s="55">
        <f>((1+Constants!$B$27)/(1+Constants!$B$26))^A41</f>
        <v/>
      </c>
      <c r="E41" s="54">
        <f>$B$31*D41</f>
        <v/>
      </c>
    </row>
    <row r="42" ht="15" customHeight="1" s="18">
      <c r="A42" s="21" t="n">
        <v>5</v>
      </c>
      <c r="B42" s="55">
        <f>(1+Constants!$B$27)^A42</f>
        <v/>
      </c>
      <c r="C42" s="55">
        <f>(1+Constants!$B$26)^A42</f>
        <v/>
      </c>
      <c r="D42" s="55">
        <f>((1+Constants!$B$27)/(1+Constants!$B$26))^A42</f>
        <v/>
      </c>
      <c r="E42" s="54">
        <f>$B$31*D42</f>
        <v/>
      </c>
    </row>
    <row r="44" ht="15" customHeight="1" s="18">
      <c r="A44" s="21" t="inlineStr">
        <is>
          <t>Cumulative Days (Loop 0 through selected loop)</t>
        </is>
      </c>
      <c r="B44" s="54">
        <f>SUM(E37:E42)</f>
        <v/>
      </c>
      <c r="C44" s="23" t="inlineStr">
        <is>
          <t>Sum of all 6 sample loops shown above — a rough total-playtime-to-loop-5 estimate.</t>
        </is>
      </c>
    </row>
    <row r="46" ht="15" customHeight="1" s="18">
      <c r="A46" s="20" t="inlineStr">
        <is>
          <t>Enemy XP Calculator</t>
        </is>
      </c>
    </row>
    <row r="47" ht="15" customHeight="1" s="18">
      <c r="A47" s="21" t="inlineStr">
        <is>
          <t>Player Level</t>
        </is>
      </c>
      <c r="B47" s="22" t="n">
        <v>50</v>
      </c>
    </row>
    <row r="48" ht="15" customHeight="1" s="18">
      <c r="A48" s="21" t="inlineStr">
        <is>
          <t>Enemy Level</t>
        </is>
      </c>
      <c r="B48" s="22" t="n">
        <v>50</v>
      </c>
    </row>
    <row r="49" ht="15" customHeight="1" s="18">
      <c r="A49" s="21" t="inlineStr">
        <is>
          <t>Loop N</t>
        </is>
      </c>
      <c r="B49" s="22" t="n">
        <v>0</v>
      </c>
    </row>
    <row r="51" ht="15" customHeight="1" s="18">
      <c r="A51" s="21" t="inlineStr">
        <is>
          <t>Level Diff (Enemy - Player)</t>
        </is>
      </c>
      <c r="B51" s="46">
        <f>B48-B47</f>
        <v/>
      </c>
    </row>
    <row r="52" ht="15" customHeight="1" s="18">
      <c r="A52" s="21" t="inlineStr">
        <is>
          <t>XP Multiplier (level-difference)</t>
        </is>
      </c>
      <c r="B52" s="49">
        <f>IF(B51&lt;=-Constants!B77,0,IF(B51&lt;=-Constants!B78,(B51+Constants!B77)/(Constants!B77-Constants!B78),IF(B51&lt;0,1,1+MIN(B51*Constants!B79,Constants!B80))))</f>
        <v/>
      </c>
    </row>
    <row r="53" ht="15" customHeight="1" s="18">
      <c r="A53" s="21" t="inlineStr">
        <is>
          <t>Base Enemy XP (on-level)</t>
        </is>
      </c>
      <c r="B53" s="53">
        <f>Constants!B73*(1+Constants!B74)^(B48-1)*(1+Constants!B27)^B49/Constants!B76</f>
        <v/>
      </c>
    </row>
    <row r="54" ht="15" customHeight="1" s="18">
      <c r="A54" s="21" t="inlineStr">
        <is>
          <t>Final XP Granted</t>
        </is>
      </c>
      <c r="B54" s="53">
        <f>B53*B52</f>
        <v/>
      </c>
    </row>
    <row r="56" ht="15" customHeight="1" s="18">
      <c r="A56" s="23" t="inlineStr">
        <is>
          <t>Note: 'Total Kills to Cap' assumes on-level kills throughout — real playtime will vary with actual level-difference mix. Use this as a planning estimate, then validate against real playtest data.</t>
        </is>
      </c>
    </row>
  </sheetData>
  <mergeCells count="8">
    <mergeCell ref="A35:E35"/>
    <mergeCell ref="A4:E4"/>
    <mergeCell ref="A2:E2"/>
    <mergeCell ref="A28:E28"/>
    <mergeCell ref="A19:E19"/>
    <mergeCell ref="A1:E1"/>
    <mergeCell ref="A46:E46"/>
    <mergeCell ref="A56:E5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8" customWidth="1" style="18" min="1" max="1"/>
    <col width="12" customWidth="1" style="18" min="2" max="2"/>
    <col width="22" customWidth="1" style="18" min="3" max="3"/>
    <col width="8" customWidth="1" style="18" min="4" max="4"/>
    <col width="10" customWidth="1" style="18" min="5" max="5"/>
    <col width="10" customWidth="1" style="18" min="6" max="6"/>
    <col width="10" customWidth="1" style="18" min="7" max="7"/>
    <col width="12" customWidth="1" style="18" min="8" max="8"/>
    <col width="12" customWidth="1" style="18" min="9" max="9"/>
    <col width="8" customWidth="1" style="18" min="10" max="10"/>
    <col width="10" customWidth="1" style="18" min="11" max="11"/>
    <col width="10" customWidth="1" style="18" min="12" max="12"/>
    <col width="12" customWidth="1" style="18" min="13" max="13"/>
    <col width="10" customWidth="1" style="18" min="14" max="14"/>
    <col width="10" customWidth="1" style="18" min="15" max="15"/>
    <col width="12" customWidth="1" style="18" min="16" max="16"/>
    <col width="10" customWidth="1" style="18" min="17" max="17"/>
    <col width="10" customWidth="1" style="18" min="18" max="18"/>
    <col width="13" customWidth="1" style="18" min="19" max="19"/>
    <col width="14" customWidth="1" style="18" min="20" max="20"/>
    <col width="14" customWidth="1" style="18" min="21" max="21"/>
    <col width="14" customWidth="1" style="18" min="22" max="22"/>
    <col width="12" customWidth="1" style="18" min="23" max="23"/>
  </cols>
  <sheetData>
    <row r="1">
      <c r="A1" s="31" t="inlineStr">
        <is>
          <t>PROGRESSION DYNAMICS: LEVELING VS. GEAR (LEVEL 1 TO 200)</t>
        </is>
      </c>
    </row>
    <row r="2">
      <c r="A2" s="32" t="inlineStr">
        <is>
          <t>Benchmark comparison isolating the impact of level-up stat point allocation vs. on-tier gear acquisition.</t>
        </is>
      </c>
    </row>
    <row r="4">
      <c r="A4" s="56" t="inlineStr">
        <is>
          <t>CHARACTER STATE</t>
        </is>
      </c>
      <c r="D4" s="57" t="inlineStr">
        <is>
          <t>LEVELING ONLY (Starter Weapon 20, 0 Gear)</t>
        </is>
      </c>
      <c r="I4" s="58" t="inlineStr">
        <is>
          <t>GEAR ONLY (Base Stats 10, On-Tier Gear)</t>
        </is>
      </c>
      <c r="N4" s="59" t="inlineStr">
        <is>
          <t>COMBINED (Leveling + On-Tier Gear)</t>
        </is>
      </c>
      <c r="T4" s="60" t="inlineStr">
        <is>
          <t>BALANCE &amp; POWER SHARE</t>
        </is>
      </c>
    </row>
    <row r="5">
      <c r="A5" s="61" t="inlineStr">
        <is>
          <t>Level</t>
        </is>
      </c>
      <c r="B5" s="61" t="inlineStr">
        <is>
          <t>Stat Points</t>
        </is>
      </c>
      <c r="C5" s="61" t="inlineStr">
        <is>
          <t>Gear Tier</t>
        </is>
      </c>
      <c r="D5" s="61" t="inlineStr">
        <is>
          <t>STR</t>
        </is>
      </c>
      <c r="E5" s="61" t="inlineStr">
        <is>
          <t>Max HP</t>
        </is>
      </c>
      <c r="F5" s="61" t="inlineStr">
        <is>
          <t>Hit Dmg</t>
        </is>
      </c>
      <c r="G5" s="61" t="inlineStr">
        <is>
          <t>DPS</t>
        </is>
      </c>
      <c r="H5" s="61" t="inlineStr">
        <is>
          <t>Power Mult</t>
        </is>
      </c>
      <c r="I5" s="61" t="inlineStr">
        <is>
          <t>WeaponBase</t>
        </is>
      </c>
      <c r="J5" s="61" t="inlineStr">
        <is>
          <t>STR</t>
        </is>
      </c>
      <c r="K5" s="61" t="inlineStr">
        <is>
          <t>Max HP</t>
        </is>
      </c>
      <c r="L5" s="61" t="inlineStr">
        <is>
          <t>DPS</t>
        </is>
      </c>
      <c r="M5" s="61" t="inlineStr">
        <is>
          <t>Power Mult</t>
        </is>
      </c>
      <c r="N5" s="61" t="inlineStr">
        <is>
          <t>Total STR</t>
        </is>
      </c>
      <c r="O5" s="61" t="inlineStr">
        <is>
          <t>Max HP</t>
        </is>
      </c>
      <c r="P5" s="61" t="inlineStr">
        <is>
          <t>Armor DEF</t>
        </is>
      </c>
      <c r="Q5" s="61" t="inlineStr">
        <is>
          <t>Hit Dmg</t>
        </is>
      </c>
      <c r="R5" s="61" t="inlineStr">
        <is>
          <t>DPS</t>
        </is>
      </c>
      <c r="S5" s="61" t="inlineStr">
        <is>
          <t>Power Mult</t>
        </is>
      </c>
      <c r="T5" s="61" t="inlineStr">
        <is>
          <t>Level Share %</t>
        </is>
      </c>
      <c r="U5" s="61" t="inlineStr">
        <is>
          <t>Gear Share %</t>
        </is>
      </c>
      <c r="V5" s="61" t="inlineStr">
        <is>
          <t>TTK vs Grunt</t>
        </is>
      </c>
      <c r="W5" s="61" t="inlineStr">
        <is>
          <t>Target Hits</t>
        </is>
      </c>
    </row>
    <row r="6">
      <c r="A6" s="62" t="n">
        <v>1</v>
      </c>
      <c r="B6" s="62">
        <f>(A6-1)*Constants!$B$90</f>
        <v/>
      </c>
      <c r="C6" s="63" t="inlineStr">
        <is>
          <t>Tier 0 (Starter)</t>
        </is>
      </c>
      <c r="D6" s="64">
        <f>10+ROUND(B6*0.5, 0)</f>
        <v/>
      </c>
      <c r="E6" s="64">
        <f>100+(10+ROUND(B6*0.2, 0))*Constants!$B$35</f>
        <v/>
      </c>
      <c r="F6" s="65">
        <f>20*(1+D6/Constants!$B$30)*(Constants!$B$4/(Constants!$B$4+10))</f>
        <v/>
      </c>
      <c r="G6" s="65">
        <f>F6/(1-(10+ROUND(B6*0.1, 0))/(10+ROUND(B6*0.1, 0)+Constants!$B$50))</f>
        <v/>
      </c>
      <c r="H6" s="66">
        <f>G6/$G$6</f>
        <v/>
      </c>
      <c r="I6" s="64">
        <f>VLOOKUP(C6, GearTiers!$A$4:$J$9, 3, FALSE)</f>
        <v/>
      </c>
      <c r="J6" s="64">
        <f>10+VLOOKUP(C6, GearTiers!$A$4:$J$9, 5, FALSE)</f>
        <v/>
      </c>
      <c r="K6" s="64">
        <f>100+(10+VLOOKUP(C6, GearTiers!$A$4:$J$9, 7, FALSE))*Constants!$B$35</f>
        <v/>
      </c>
      <c r="L6" s="65">
        <f>(I6*(1+J6/Constants!$B$30)*(Constants!$B$4/(Constants!$B$4+10)))/(1-(10+VLOOKUP(C6, GearTiers!$A$4:$J$9, 9, FALSE))/(10+VLOOKUP(C6, GearTiers!$A$4:$J$9, 9, FALSE)+Constants!$B$50))</f>
        <v/>
      </c>
      <c r="M6" s="66">
        <f>L6/$L$6</f>
        <v/>
      </c>
      <c r="N6" s="64">
        <f>D6+VLOOKUP(C6, GearTiers!$A$4:$J$9, 5, FALSE)</f>
        <v/>
      </c>
      <c r="O6" s="64">
        <f>E6+VLOOKUP(C6, GearTiers!$A$4:$J$9, 7, FALSE)*Constants!$B$35</f>
        <v/>
      </c>
      <c r="P6" s="64">
        <f>10+ROUND(B6*0.1, 0)+VLOOKUP(C6, GearTiers!$A$4:$K$9, 8, FALSE)</f>
        <v/>
      </c>
      <c r="Q6" s="65">
        <f>I6*(1+N6/Constants!$B$30)*(Constants!$B$4/(Constants!$B$4+10))</f>
        <v/>
      </c>
      <c r="R6" s="65">
        <f>Q6/(1-(10+ROUND(B6*0.1, 0)+VLOOKUP(C6, GearTiers!$A$4:$J$9, 9, FALSE))/(10+ROUND(B6*0.1, 0)+VLOOKUP(C6, GearTiers!$A$4:$J$9, 9, FALSE)+Constants!$B$50))</f>
        <v/>
      </c>
      <c r="S6" s="67">
        <f>R6/$R$6</f>
        <v/>
      </c>
      <c r="T6" s="68">
        <f>H6/(H6+M6)</f>
        <v/>
      </c>
      <c r="U6" s="68">
        <f>M6/(H6+M6)</f>
        <v/>
      </c>
      <c r="V6" s="69">
        <f>100/R6</f>
        <v/>
      </c>
      <c r="W6" s="62">
        <f>ROUNDUP(100/Q6, 0)</f>
        <v/>
      </c>
    </row>
    <row r="7">
      <c r="A7" s="62" t="n">
        <v>5</v>
      </c>
      <c r="B7" s="62">
        <f>(A7-1)*Constants!$B$90</f>
        <v/>
      </c>
      <c r="C7" s="63" t="inlineStr">
        <is>
          <t>Tier 1 (Common)</t>
        </is>
      </c>
      <c r="D7" s="64">
        <f>10+ROUND(B7*0.5, 0)</f>
        <v/>
      </c>
      <c r="E7" s="64">
        <f>100+(10+ROUND(B7*0.2, 0))*Constants!$B$35</f>
        <v/>
      </c>
      <c r="F7" s="65">
        <f>20*(1+D7/Constants!$B$30)*(Constants!$B$4/(Constants!$B$4+10))</f>
        <v/>
      </c>
      <c r="G7" s="65">
        <f>F7/(1-(10+ROUND(B7*0.1, 0))/(10+ROUND(B7*0.1, 0)+Constants!$B$50))</f>
        <v/>
      </c>
      <c r="H7" s="66">
        <f>G7/$G$6</f>
        <v/>
      </c>
      <c r="I7" s="64">
        <f>VLOOKUP(C7, GearTiers!$A$4:$J$9, 3, FALSE)</f>
        <v/>
      </c>
      <c r="J7" s="64">
        <f>10+VLOOKUP(C7, GearTiers!$A$4:$J$9, 5, FALSE)</f>
        <v/>
      </c>
      <c r="K7" s="64">
        <f>100+(10+VLOOKUP(C7, GearTiers!$A$4:$J$9, 7, FALSE))*Constants!$B$35</f>
        <v/>
      </c>
      <c r="L7" s="65">
        <f>(I7*(1+J7/Constants!$B$30)*(Constants!$B$4/(Constants!$B$4+10)))/(1-(10+VLOOKUP(C7, GearTiers!$A$4:$J$9, 9, FALSE))/(10+VLOOKUP(C7, GearTiers!$A$4:$J$9, 9, FALSE)+Constants!$B$50))</f>
        <v/>
      </c>
      <c r="M7" s="66">
        <f>L7/$L$6</f>
        <v/>
      </c>
      <c r="N7" s="64">
        <f>D7+VLOOKUP(C7, GearTiers!$A$4:$J$9, 5, FALSE)</f>
        <v/>
      </c>
      <c r="O7" s="64">
        <f>E7+VLOOKUP(C7, GearTiers!$A$4:$J$9, 7, FALSE)*Constants!$B$35</f>
        <v/>
      </c>
      <c r="P7" s="64">
        <f>10+ROUND(B7*0.1, 0)+VLOOKUP(C7, GearTiers!$A$4:$K$9, 8, FALSE)</f>
        <v/>
      </c>
      <c r="Q7" s="65">
        <f>I7*(1+N7/Constants!$B$30)*(Constants!$B$4/(Constants!$B$4+10))</f>
        <v/>
      </c>
      <c r="R7" s="65">
        <f>Q7/(1-(10+ROUND(B7*0.1, 0)+VLOOKUP(C7, GearTiers!$A$4:$J$9, 9, FALSE))/(10+ROUND(B7*0.1, 0)+VLOOKUP(C7, GearTiers!$A$4:$J$9, 9, FALSE)+Constants!$B$50))</f>
        <v/>
      </c>
      <c r="S7" s="67">
        <f>R7/$R$6</f>
        <v/>
      </c>
      <c r="T7" s="68">
        <f>H7/(H7+M7)</f>
        <v/>
      </c>
      <c r="U7" s="68">
        <f>M7/(H7+M7)</f>
        <v/>
      </c>
      <c r="V7" s="69">
        <f>100/R7</f>
        <v/>
      </c>
      <c r="W7" s="62">
        <f>ROUNDUP(100/Q7, 0)</f>
        <v/>
      </c>
    </row>
    <row r="8">
      <c r="A8" s="62" t="n">
        <v>10</v>
      </c>
      <c r="B8" s="62">
        <f>(A8-1)*Constants!$B$90</f>
        <v/>
      </c>
      <c r="C8" s="63" t="inlineStr">
        <is>
          <t>Tier 1 (Common)</t>
        </is>
      </c>
      <c r="D8" s="64">
        <f>10+ROUND(B8*0.5, 0)</f>
        <v/>
      </c>
      <c r="E8" s="64">
        <f>100+(10+ROUND(B8*0.2, 0))*Constants!$B$35</f>
        <v/>
      </c>
      <c r="F8" s="65">
        <f>20*(1+D8/Constants!$B$30)*(Constants!$B$4/(Constants!$B$4+10))</f>
        <v/>
      </c>
      <c r="G8" s="65">
        <f>F8/(1-(10+ROUND(B8*0.1, 0))/(10+ROUND(B8*0.1, 0)+Constants!$B$50))</f>
        <v/>
      </c>
      <c r="H8" s="66">
        <f>G8/$G$6</f>
        <v/>
      </c>
      <c r="I8" s="64">
        <f>VLOOKUP(C8, GearTiers!$A$4:$J$9, 3, FALSE)</f>
        <v/>
      </c>
      <c r="J8" s="64">
        <f>10+VLOOKUP(C8, GearTiers!$A$4:$J$9, 5, FALSE)</f>
        <v/>
      </c>
      <c r="K8" s="64">
        <f>100+(10+VLOOKUP(C8, GearTiers!$A$4:$J$9, 7, FALSE))*Constants!$B$35</f>
        <v/>
      </c>
      <c r="L8" s="65">
        <f>(I8*(1+J8/Constants!$B$30)*(Constants!$B$4/(Constants!$B$4+10)))/(1-(10+VLOOKUP(C8, GearTiers!$A$4:$J$9, 9, FALSE))/(10+VLOOKUP(C8, GearTiers!$A$4:$J$9, 9, FALSE)+Constants!$B$50))</f>
        <v/>
      </c>
      <c r="M8" s="66">
        <f>L8/$L$6</f>
        <v/>
      </c>
      <c r="N8" s="64">
        <f>D8+VLOOKUP(C8, GearTiers!$A$4:$J$9, 5, FALSE)</f>
        <v/>
      </c>
      <c r="O8" s="64">
        <f>E8+VLOOKUP(C8, GearTiers!$A$4:$J$9, 7, FALSE)*Constants!$B$35</f>
        <v/>
      </c>
      <c r="P8" s="64">
        <f>10+ROUND(B8*0.1, 0)+VLOOKUP(C8, GearTiers!$A$4:$K$9, 8, FALSE)</f>
        <v/>
      </c>
      <c r="Q8" s="65">
        <f>I8*(1+N8/Constants!$B$30)*(Constants!$B$4/(Constants!$B$4+10))</f>
        <v/>
      </c>
      <c r="R8" s="65">
        <f>Q8/(1-(10+ROUND(B8*0.1, 0)+VLOOKUP(C8, GearTiers!$A$4:$J$9, 9, FALSE))/(10+ROUND(B8*0.1, 0)+VLOOKUP(C8, GearTiers!$A$4:$J$9, 9, FALSE)+Constants!$B$50))</f>
        <v/>
      </c>
      <c r="S8" s="67">
        <f>R8/$R$6</f>
        <v/>
      </c>
      <c r="T8" s="68">
        <f>H8/(H8+M8)</f>
        <v/>
      </c>
      <c r="U8" s="68">
        <f>M8/(H8+M8)</f>
        <v/>
      </c>
      <c r="V8" s="69">
        <f>100/R8</f>
        <v/>
      </c>
      <c r="W8" s="62">
        <f>ROUNDUP(100/Q8, 0)</f>
        <v/>
      </c>
    </row>
    <row r="9">
      <c r="A9" s="62" t="n">
        <v>20</v>
      </c>
      <c r="B9" s="62">
        <f>(A9-1)*Constants!$B$90</f>
        <v/>
      </c>
      <c r="C9" s="63" t="inlineStr">
        <is>
          <t>Tier 2 (Uncommon)</t>
        </is>
      </c>
      <c r="D9" s="64">
        <f>10+ROUND(B9*0.5, 0)</f>
        <v/>
      </c>
      <c r="E9" s="64">
        <f>100+(10+ROUND(B9*0.2, 0))*Constants!$B$35</f>
        <v/>
      </c>
      <c r="F9" s="65">
        <f>20*(1+D9/Constants!$B$30)*(Constants!$B$4/(Constants!$B$4+10))</f>
        <v/>
      </c>
      <c r="G9" s="65">
        <f>F9/(1-(10+ROUND(B9*0.1, 0))/(10+ROUND(B9*0.1, 0)+Constants!$B$50))</f>
        <v/>
      </c>
      <c r="H9" s="66">
        <f>G9/$G$6</f>
        <v/>
      </c>
      <c r="I9" s="64">
        <f>VLOOKUP(C9, GearTiers!$A$4:$J$9, 3, FALSE)</f>
        <v/>
      </c>
      <c r="J9" s="64">
        <f>10+VLOOKUP(C9, GearTiers!$A$4:$J$9, 5, FALSE)</f>
        <v/>
      </c>
      <c r="K9" s="64">
        <f>100+(10+VLOOKUP(C9, GearTiers!$A$4:$J$9, 7, FALSE))*Constants!$B$35</f>
        <v/>
      </c>
      <c r="L9" s="65">
        <f>(I9*(1+J9/Constants!$B$30)*(Constants!$B$4/(Constants!$B$4+10)))/(1-(10+VLOOKUP(C9, GearTiers!$A$4:$J$9, 9, FALSE))/(10+VLOOKUP(C9, GearTiers!$A$4:$J$9, 9, FALSE)+Constants!$B$50))</f>
        <v/>
      </c>
      <c r="M9" s="66">
        <f>L9/$L$6</f>
        <v/>
      </c>
      <c r="N9" s="64">
        <f>D9+VLOOKUP(C9, GearTiers!$A$4:$J$9, 5, FALSE)</f>
        <v/>
      </c>
      <c r="O9" s="64">
        <f>E9+VLOOKUP(C9, GearTiers!$A$4:$J$9, 7, FALSE)*Constants!$B$35</f>
        <v/>
      </c>
      <c r="P9" s="64">
        <f>10+ROUND(B9*0.1, 0)+VLOOKUP(C9, GearTiers!$A$4:$K$9, 8, FALSE)</f>
        <v/>
      </c>
      <c r="Q9" s="65">
        <f>I9*(1+N9/Constants!$B$30)*(Constants!$B$4/(Constants!$B$4+10))</f>
        <v/>
      </c>
      <c r="R9" s="65">
        <f>Q9/(1-(10+ROUND(B9*0.1, 0)+VLOOKUP(C9, GearTiers!$A$4:$J$9, 9, FALSE))/(10+ROUND(B9*0.1, 0)+VLOOKUP(C9, GearTiers!$A$4:$J$9, 9, FALSE)+Constants!$B$50))</f>
        <v/>
      </c>
      <c r="S9" s="67">
        <f>R9/$R$6</f>
        <v/>
      </c>
      <c r="T9" s="68">
        <f>H9/(H9+M9)</f>
        <v/>
      </c>
      <c r="U9" s="68">
        <f>M9/(H9+M9)</f>
        <v/>
      </c>
      <c r="V9" s="69">
        <f>100/R9</f>
        <v/>
      </c>
      <c r="W9" s="62">
        <f>ROUNDUP(100/Q9, 0)</f>
        <v/>
      </c>
    </row>
    <row r="10">
      <c r="A10" s="62" t="n">
        <v>35</v>
      </c>
      <c r="B10" s="62">
        <f>(A10-1)*Constants!$B$90</f>
        <v/>
      </c>
      <c r="C10" s="63" t="inlineStr">
        <is>
          <t>Tier 2 (Uncommon)</t>
        </is>
      </c>
      <c r="D10" s="64">
        <f>10+ROUND(B10*0.5, 0)</f>
        <v/>
      </c>
      <c r="E10" s="64">
        <f>100+(10+ROUND(B10*0.2, 0))*Constants!$B$35</f>
        <v/>
      </c>
      <c r="F10" s="65">
        <f>20*(1+D10/Constants!$B$30)*(Constants!$B$4/(Constants!$B$4+10))</f>
        <v/>
      </c>
      <c r="G10" s="65">
        <f>F10/(1-(10+ROUND(B10*0.1, 0))/(10+ROUND(B10*0.1, 0)+Constants!$B$50))</f>
        <v/>
      </c>
      <c r="H10" s="66">
        <f>G10/$G$6</f>
        <v/>
      </c>
      <c r="I10" s="64">
        <f>VLOOKUP(C10, GearTiers!$A$4:$J$9, 3, FALSE)</f>
        <v/>
      </c>
      <c r="J10" s="64">
        <f>10+VLOOKUP(C10, GearTiers!$A$4:$J$9, 5, FALSE)</f>
        <v/>
      </c>
      <c r="K10" s="64">
        <f>100+(10+VLOOKUP(C10, GearTiers!$A$4:$J$9, 7, FALSE))*Constants!$B$35</f>
        <v/>
      </c>
      <c r="L10" s="65">
        <f>(I10*(1+J10/Constants!$B$30)*(Constants!$B$4/(Constants!$B$4+10)))/(1-(10+VLOOKUP(C10, GearTiers!$A$4:$J$9, 9, FALSE))/(10+VLOOKUP(C10, GearTiers!$A$4:$J$9, 9, FALSE)+Constants!$B$50))</f>
        <v/>
      </c>
      <c r="M10" s="66">
        <f>L10/$L$6</f>
        <v/>
      </c>
      <c r="N10" s="64">
        <f>D10+VLOOKUP(C10, GearTiers!$A$4:$J$9, 5, FALSE)</f>
        <v/>
      </c>
      <c r="O10" s="64">
        <f>E10+VLOOKUP(C10, GearTiers!$A$4:$J$9, 7, FALSE)*Constants!$B$35</f>
        <v/>
      </c>
      <c r="P10" s="64">
        <f>10+ROUND(B10*0.1, 0)+VLOOKUP(C10, GearTiers!$A$4:$K$9, 8, FALSE)</f>
        <v/>
      </c>
      <c r="Q10" s="65">
        <f>I10*(1+N10/Constants!$B$30)*(Constants!$B$4/(Constants!$B$4+10))</f>
        <v/>
      </c>
      <c r="R10" s="65">
        <f>Q10/(1-(10+ROUND(B10*0.1, 0)+VLOOKUP(C10, GearTiers!$A$4:$J$9, 9, FALSE))/(10+ROUND(B10*0.1, 0)+VLOOKUP(C10, GearTiers!$A$4:$J$9, 9, FALSE)+Constants!$B$50))</f>
        <v/>
      </c>
      <c r="S10" s="67">
        <f>R10/$R$6</f>
        <v/>
      </c>
      <c r="T10" s="68">
        <f>H10/(H10+M10)</f>
        <v/>
      </c>
      <c r="U10" s="68">
        <f>M10/(H10+M10)</f>
        <v/>
      </c>
      <c r="V10" s="69">
        <f>100/R10</f>
        <v/>
      </c>
      <c r="W10" s="62">
        <f>ROUNDUP(100/Q10, 0)</f>
        <v/>
      </c>
    </row>
    <row r="11">
      <c r="A11" s="62" t="n">
        <v>50</v>
      </c>
      <c r="B11" s="62">
        <f>(A11-1)*Constants!$B$90</f>
        <v/>
      </c>
      <c r="C11" s="63" t="inlineStr">
        <is>
          <t>Tier 3 (Rare)</t>
        </is>
      </c>
      <c r="D11" s="64">
        <f>10+ROUND(B11*0.5, 0)</f>
        <v/>
      </c>
      <c r="E11" s="64">
        <f>100+(10+ROUND(B11*0.2, 0))*Constants!$B$35</f>
        <v/>
      </c>
      <c r="F11" s="65">
        <f>20*(1+D11/Constants!$B$30)*(Constants!$B$4/(Constants!$B$4+10))</f>
        <v/>
      </c>
      <c r="G11" s="65">
        <f>F11/(1-(10+ROUND(B11*0.1, 0))/(10+ROUND(B11*0.1, 0)+Constants!$B$50))</f>
        <v/>
      </c>
      <c r="H11" s="66">
        <f>G11/$G$6</f>
        <v/>
      </c>
      <c r="I11" s="64">
        <f>VLOOKUP(C11, GearTiers!$A$4:$J$9, 3, FALSE)</f>
        <v/>
      </c>
      <c r="J11" s="64">
        <f>10+VLOOKUP(C11, GearTiers!$A$4:$J$9, 5, FALSE)</f>
        <v/>
      </c>
      <c r="K11" s="64">
        <f>100+(10+VLOOKUP(C11, GearTiers!$A$4:$J$9, 7, FALSE))*Constants!$B$35</f>
        <v/>
      </c>
      <c r="L11" s="65">
        <f>(I11*(1+J11/Constants!$B$30)*(Constants!$B$4/(Constants!$B$4+10)))/(1-(10+VLOOKUP(C11, GearTiers!$A$4:$J$9, 9, FALSE))/(10+VLOOKUP(C11, GearTiers!$A$4:$J$9, 9, FALSE)+Constants!$B$50))</f>
        <v/>
      </c>
      <c r="M11" s="66">
        <f>L11/$L$6</f>
        <v/>
      </c>
      <c r="N11" s="64">
        <f>D11+VLOOKUP(C11, GearTiers!$A$4:$J$9, 5, FALSE)</f>
        <v/>
      </c>
      <c r="O11" s="64">
        <f>E11+VLOOKUP(C11, GearTiers!$A$4:$J$9, 7, FALSE)*Constants!$B$35</f>
        <v/>
      </c>
      <c r="P11" s="64">
        <f>10+ROUND(B11*0.1, 0)+VLOOKUP(C11, GearTiers!$A$4:$K$9, 8, FALSE)</f>
        <v/>
      </c>
      <c r="Q11" s="65">
        <f>I11*(1+N11/Constants!$B$30)*(Constants!$B$4/(Constants!$B$4+10))</f>
        <v/>
      </c>
      <c r="R11" s="65">
        <f>Q11/(1-(10+ROUND(B11*0.1, 0)+VLOOKUP(C11, GearTiers!$A$4:$J$9, 9, FALSE))/(10+ROUND(B11*0.1, 0)+VLOOKUP(C11, GearTiers!$A$4:$J$9, 9, FALSE)+Constants!$B$50))</f>
        <v/>
      </c>
      <c r="S11" s="67">
        <f>R11/$R$6</f>
        <v/>
      </c>
      <c r="T11" s="68">
        <f>H11/(H11+M11)</f>
        <v/>
      </c>
      <c r="U11" s="68">
        <f>M11/(H11+M11)</f>
        <v/>
      </c>
      <c r="V11" s="69">
        <f>100/R11</f>
        <v/>
      </c>
      <c r="W11" s="62">
        <f>ROUNDUP(100/Q11, 0)</f>
        <v/>
      </c>
    </row>
    <row r="12">
      <c r="A12" s="62" t="n">
        <v>75</v>
      </c>
      <c r="B12" s="62">
        <f>(A12-1)*Constants!$B$90</f>
        <v/>
      </c>
      <c r="C12" s="63" t="inlineStr">
        <is>
          <t>Tier 3 (Rare)</t>
        </is>
      </c>
      <c r="D12" s="64">
        <f>10+ROUND(B12*0.5, 0)</f>
        <v/>
      </c>
      <c r="E12" s="64">
        <f>100+(10+ROUND(B12*0.2, 0))*Constants!$B$35</f>
        <v/>
      </c>
      <c r="F12" s="65">
        <f>20*(1+D12/Constants!$B$30)*(Constants!$B$4/(Constants!$B$4+10))</f>
        <v/>
      </c>
      <c r="G12" s="65">
        <f>F12/(1-(10+ROUND(B12*0.1, 0))/(10+ROUND(B12*0.1, 0)+Constants!$B$50))</f>
        <v/>
      </c>
      <c r="H12" s="66">
        <f>G12/$G$6</f>
        <v/>
      </c>
      <c r="I12" s="64">
        <f>VLOOKUP(C12, GearTiers!$A$4:$J$9, 3, FALSE)</f>
        <v/>
      </c>
      <c r="J12" s="64">
        <f>10+VLOOKUP(C12, GearTiers!$A$4:$J$9, 5, FALSE)</f>
        <v/>
      </c>
      <c r="K12" s="64">
        <f>100+(10+VLOOKUP(C12, GearTiers!$A$4:$J$9, 7, FALSE))*Constants!$B$35</f>
        <v/>
      </c>
      <c r="L12" s="65">
        <f>(I12*(1+J12/Constants!$B$30)*(Constants!$B$4/(Constants!$B$4+10)))/(1-(10+VLOOKUP(C12, GearTiers!$A$4:$J$9, 9, FALSE))/(10+VLOOKUP(C12, GearTiers!$A$4:$J$9, 9, FALSE)+Constants!$B$50))</f>
        <v/>
      </c>
      <c r="M12" s="66">
        <f>L12/$L$6</f>
        <v/>
      </c>
      <c r="N12" s="64">
        <f>D12+VLOOKUP(C12, GearTiers!$A$4:$J$9, 5, FALSE)</f>
        <v/>
      </c>
      <c r="O12" s="64">
        <f>E12+VLOOKUP(C12, GearTiers!$A$4:$J$9, 7, FALSE)*Constants!$B$35</f>
        <v/>
      </c>
      <c r="P12" s="64">
        <f>10+ROUND(B12*0.1, 0)+VLOOKUP(C12, GearTiers!$A$4:$K$9, 8, FALSE)</f>
        <v/>
      </c>
      <c r="Q12" s="65">
        <f>I12*(1+N12/Constants!$B$30)*(Constants!$B$4/(Constants!$B$4+10))</f>
        <v/>
      </c>
      <c r="R12" s="65">
        <f>Q12/(1-(10+ROUND(B12*0.1, 0)+VLOOKUP(C12, GearTiers!$A$4:$J$9, 9, FALSE))/(10+ROUND(B12*0.1, 0)+VLOOKUP(C12, GearTiers!$A$4:$J$9, 9, FALSE)+Constants!$B$50))</f>
        <v/>
      </c>
      <c r="S12" s="67">
        <f>R12/$R$6</f>
        <v/>
      </c>
      <c r="T12" s="68">
        <f>H12/(H12+M12)</f>
        <v/>
      </c>
      <c r="U12" s="68">
        <f>M12/(H12+M12)</f>
        <v/>
      </c>
      <c r="V12" s="69">
        <f>100/R12</f>
        <v/>
      </c>
      <c r="W12" s="62">
        <f>ROUNDUP(100/Q12, 0)</f>
        <v/>
      </c>
    </row>
    <row r="13">
      <c r="A13" s="62" t="n">
        <v>100</v>
      </c>
      <c r="B13" s="62">
        <f>(A13-1)*Constants!$B$90</f>
        <v/>
      </c>
      <c r="C13" s="63" t="inlineStr">
        <is>
          <t>Tier 4 (Epic)</t>
        </is>
      </c>
      <c r="D13" s="64">
        <f>10+ROUND(B13*0.5, 0)</f>
        <v/>
      </c>
      <c r="E13" s="64">
        <f>100+(10+ROUND(B13*0.2, 0))*Constants!$B$35</f>
        <v/>
      </c>
      <c r="F13" s="65">
        <f>20*(1+D13/Constants!$B$30)*(Constants!$B$4/(Constants!$B$4+10))</f>
        <v/>
      </c>
      <c r="G13" s="65">
        <f>F13/(1-(10+ROUND(B13*0.1, 0))/(10+ROUND(B13*0.1, 0)+Constants!$B$50))</f>
        <v/>
      </c>
      <c r="H13" s="66">
        <f>G13/$G$6</f>
        <v/>
      </c>
      <c r="I13" s="64">
        <f>VLOOKUP(C13, GearTiers!$A$4:$J$9, 3, FALSE)</f>
        <v/>
      </c>
      <c r="J13" s="64">
        <f>10+VLOOKUP(C13, GearTiers!$A$4:$J$9, 5, FALSE)</f>
        <v/>
      </c>
      <c r="K13" s="64">
        <f>100+(10+VLOOKUP(C13, GearTiers!$A$4:$J$9, 7, FALSE))*Constants!$B$35</f>
        <v/>
      </c>
      <c r="L13" s="65">
        <f>(I13*(1+J13/Constants!$B$30)*(Constants!$B$4/(Constants!$B$4+10)))/(1-(10+VLOOKUP(C13, GearTiers!$A$4:$J$9, 9, FALSE))/(10+VLOOKUP(C13, GearTiers!$A$4:$J$9, 9, FALSE)+Constants!$B$50))</f>
        <v/>
      </c>
      <c r="M13" s="66">
        <f>L13/$L$6</f>
        <v/>
      </c>
      <c r="N13" s="64">
        <f>D13+VLOOKUP(C13, GearTiers!$A$4:$J$9, 5, FALSE)</f>
        <v/>
      </c>
      <c r="O13" s="64">
        <f>E13+VLOOKUP(C13, GearTiers!$A$4:$J$9, 7, FALSE)*Constants!$B$35</f>
        <v/>
      </c>
      <c r="P13" s="64">
        <f>10+ROUND(B13*0.1, 0)+VLOOKUP(C13, GearTiers!$A$4:$K$9, 8, FALSE)</f>
        <v/>
      </c>
      <c r="Q13" s="65">
        <f>I13*(1+N13/Constants!$B$30)*(Constants!$B$4/(Constants!$B$4+10))</f>
        <v/>
      </c>
      <c r="R13" s="65">
        <f>Q13/(1-(10+ROUND(B13*0.1, 0)+VLOOKUP(C13, GearTiers!$A$4:$J$9, 9, FALSE))/(10+ROUND(B13*0.1, 0)+VLOOKUP(C13, GearTiers!$A$4:$J$9, 9, FALSE)+Constants!$B$50))</f>
        <v/>
      </c>
      <c r="S13" s="67">
        <f>R13/$R$6</f>
        <v/>
      </c>
      <c r="T13" s="68">
        <f>H13/(H13+M13)</f>
        <v/>
      </c>
      <c r="U13" s="68">
        <f>M13/(H13+M13)</f>
        <v/>
      </c>
      <c r="V13" s="69">
        <f>100/R13</f>
        <v/>
      </c>
      <c r="W13" s="62">
        <f>ROUNDUP(100/Q13, 0)</f>
        <v/>
      </c>
    </row>
    <row r="14">
      <c r="A14" s="62" t="n">
        <v>150</v>
      </c>
      <c r="B14" s="62">
        <f>(A14-1)*Constants!$B$90</f>
        <v/>
      </c>
      <c r="C14" s="63" t="inlineStr">
        <is>
          <t>Tier 4 (Epic)</t>
        </is>
      </c>
      <c r="D14" s="64">
        <f>10+ROUND(B14*0.5, 0)</f>
        <v/>
      </c>
      <c r="E14" s="64">
        <f>100+(10+ROUND(B14*0.2, 0))*Constants!$B$35</f>
        <v/>
      </c>
      <c r="F14" s="65">
        <f>20*(1+D14/Constants!$B$30)*(Constants!$B$4/(Constants!$B$4+10))</f>
        <v/>
      </c>
      <c r="G14" s="65">
        <f>F14/(1-(10+ROUND(B14*0.1, 0))/(10+ROUND(B14*0.1, 0)+Constants!$B$50))</f>
        <v/>
      </c>
      <c r="H14" s="66">
        <f>G14/$G$6</f>
        <v/>
      </c>
      <c r="I14" s="64">
        <f>VLOOKUP(C14, GearTiers!$A$4:$J$9, 3, FALSE)</f>
        <v/>
      </c>
      <c r="J14" s="64">
        <f>10+VLOOKUP(C14, GearTiers!$A$4:$J$9, 5, FALSE)</f>
        <v/>
      </c>
      <c r="K14" s="64">
        <f>100+(10+VLOOKUP(C14, GearTiers!$A$4:$J$9, 7, FALSE))*Constants!$B$35</f>
        <v/>
      </c>
      <c r="L14" s="65">
        <f>(I14*(1+J14/Constants!$B$30)*(Constants!$B$4/(Constants!$B$4+10)))/(1-(10+VLOOKUP(C14, GearTiers!$A$4:$J$9, 9, FALSE))/(10+VLOOKUP(C14, GearTiers!$A$4:$J$9, 9, FALSE)+Constants!$B$50))</f>
        <v/>
      </c>
      <c r="M14" s="66">
        <f>L14/$L$6</f>
        <v/>
      </c>
      <c r="N14" s="64">
        <f>D14+VLOOKUP(C14, GearTiers!$A$4:$J$9, 5, FALSE)</f>
        <v/>
      </c>
      <c r="O14" s="64">
        <f>E14+VLOOKUP(C14, GearTiers!$A$4:$J$9, 7, FALSE)*Constants!$B$35</f>
        <v/>
      </c>
      <c r="P14" s="64">
        <f>10+ROUND(B14*0.1, 0)+VLOOKUP(C14, GearTiers!$A$4:$K$9, 8, FALSE)</f>
        <v/>
      </c>
      <c r="Q14" s="65">
        <f>I14*(1+N14/Constants!$B$30)*(Constants!$B$4/(Constants!$B$4+10))</f>
        <v/>
      </c>
      <c r="R14" s="65">
        <f>Q14/(1-(10+ROUND(B14*0.1, 0)+VLOOKUP(C14, GearTiers!$A$4:$J$9, 9, FALSE))/(10+ROUND(B14*0.1, 0)+VLOOKUP(C14, GearTiers!$A$4:$J$9, 9, FALSE)+Constants!$B$50))</f>
        <v/>
      </c>
      <c r="S14" s="67">
        <f>R14/$R$6</f>
        <v/>
      </c>
      <c r="T14" s="68">
        <f>H14/(H14+M14)</f>
        <v/>
      </c>
      <c r="U14" s="68">
        <f>M14/(H14+M14)</f>
        <v/>
      </c>
      <c r="V14" s="69">
        <f>100/R14</f>
        <v/>
      </c>
      <c r="W14" s="62">
        <f>ROUNDUP(100/Q14, 0)</f>
        <v/>
      </c>
    </row>
    <row r="15">
      <c r="A15" s="62" t="n">
        <v>200</v>
      </c>
      <c r="B15" s="62">
        <f>(A15-1)*Constants!$B$90</f>
        <v/>
      </c>
      <c r="C15" s="63" t="inlineStr">
        <is>
          <t>Tier 5 (Legendary)</t>
        </is>
      </c>
      <c r="D15" s="64">
        <f>10+ROUND(B15*0.5, 0)</f>
        <v/>
      </c>
      <c r="E15" s="64">
        <f>100+(10+ROUND(B15*0.2, 0))*Constants!$B$35</f>
        <v/>
      </c>
      <c r="F15" s="65">
        <f>20*(1+D15/Constants!$B$30)*(Constants!$B$4/(Constants!$B$4+10))</f>
        <v/>
      </c>
      <c r="G15" s="65">
        <f>F15/(1-(10+ROUND(B15*0.1, 0))/(10+ROUND(B15*0.1, 0)+Constants!$B$50))</f>
        <v/>
      </c>
      <c r="H15" s="66">
        <f>G15/$G$6</f>
        <v/>
      </c>
      <c r="I15" s="64">
        <f>VLOOKUP(C15, GearTiers!$A$4:$J$9, 3, FALSE)</f>
        <v/>
      </c>
      <c r="J15" s="64">
        <f>10+VLOOKUP(C15, GearTiers!$A$4:$J$9, 5, FALSE)</f>
        <v/>
      </c>
      <c r="K15" s="64">
        <f>100+(10+VLOOKUP(C15, GearTiers!$A$4:$J$9, 7, FALSE))*Constants!$B$35</f>
        <v/>
      </c>
      <c r="L15" s="65">
        <f>(I15*(1+J15/Constants!$B$30)*(Constants!$B$4/(Constants!$B$4+10)))/(1-(10+VLOOKUP(C15, GearTiers!$A$4:$J$9, 9, FALSE))/(10+VLOOKUP(C15, GearTiers!$A$4:$J$9, 9, FALSE)+Constants!$B$50))</f>
        <v/>
      </c>
      <c r="M15" s="66">
        <f>L15/$L$6</f>
        <v/>
      </c>
      <c r="N15" s="64">
        <f>D15+VLOOKUP(C15, GearTiers!$A$4:$J$9, 5, FALSE)</f>
        <v/>
      </c>
      <c r="O15" s="64">
        <f>E15+VLOOKUP(C15, GearTiers!$A$4:$J$9, 7, FALSE)*Constants!$B$35</f>
        <v/>
      </c>
      <c r="P15" s="64">
        <f>10+ROUND(B15*0.1, 0)+VLOOKUP(C15, GearTiers!$A$4:$K$9, 8, FALSE)</f>
        <v/>
      </c>
      <c r="Q15" s="65">
        <f>I15*(1+N15/Constants!$B$30)*(Constants!$B$4/(Constants!$B$4+10))</f>
        <v/>
      </c>
      <c r="R15" s="65">
        <f>Q15/(1-(10+ROUND(B15*0.1, 0)+VLOOKUP(C15, GearTiers!$A$4:$J$9, 9, FALSE))/(10+ROUND(B15*0.1, 0)+VLOOKUP(C15, GearTiers!$A$4:$J$9, 9, FALSE)+Constants!$B$50))</f>
        <v/>
      </c>
      <c r="S15" s="67">
        <f>R15/$R$6</f>
        <v/>
      </c>
      <c r="T15" s="68">
        <f>H15/(H15+M15)</f>
        <v/>
      </c>
      <c r="U15" s="68">
        <f>M15/(H15+M15)</f>
        <v/>
      </c>
      <c r="V15" s="69">
        <f>100/R15</f>
        <v/>
      </c>
      <c r="W15" s="62">
        <f>ROUNDUP(100/Q15, 0)</f>
        <v/>
      </c>
    </row>
  </sheetData>
  <mergeCells count="5">
    <mergeCell ref="I4:M4"/>
    <mergeCell ref="T4:W4"/>
    <mergeCell ref="D4:H4"/>
    <mergeCell ref="A4:C4"/>
    <mergeCell ref="N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2026-08-17T10:58:05Z</dcterms:created>
  <dcterms:modified xsi:type="dcterms:W3CDTF">2026-10-21T12:35:02Z</dcterms:modified>
  <cp:revision>0</cp:revision>
</cp:coreProperties>
</file>